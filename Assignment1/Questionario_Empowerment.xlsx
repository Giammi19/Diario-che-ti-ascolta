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URABILITY" sheetId="1" r:id="rId5"/>
    <sheet state="visible" name="Quest.Utente1" sheetId="2" r:id="rId6"/>
    <sheet state="visible" name="Quest.Utente2" sheetId="3" r:id="rId7"/>
    <sheet state="visible" name="Quest.Utente3" sheetId="4" r:id="rId8"/>
    <sheet state="visible" name="Quest.Utente4" sheetId="5" r:id="rId9"/>
    <sheet state="visible" name="MEDIE" sheetId="6" r:id="rId10"/>
    <sheet state="visible" name="TabRisultati" sheetId="7" r:id="rId11"/>
  </sheets>
  <definedNames/>
  <calcPr/>
</workbook>
</file>

<file path=xl/sharedStrings.xml><?xml version="1.0" encoding="utf-8"?>
<sst xmlns="http://schemas.openxmlformats.org/spreadsheetml/2006/main" count="1320" uniqueCount="171">
  <si>
    <t>Decision Making</t>
  </si>
  <si>
    <t xml:space="preserve">Self-Management </t>
  </si>
  <si>
    <t xml:space="preserve">Communication </t>
  </si>
  <si>
    <t>Engagement</t>
  </si>
  <si>
    <t>T1 - Creazione del diario personale &lt;L'utente inserisce all'interno dell'app le proprie preferenze culturali, interessi, hobby e disponibilità temporali, creando una base personalizzata per il sistema.&gt;</t>
  </si>
  <si>
    <t>K&amp;S</t>
  </si>
  <si>
    <t>SE</t>
  </si>
  <si>
    <t>PC</t>
  </si>
  <si>
    <t>MOT</t>
  </si>
  <si>
    <t>T2 - Aggiornamento del diario &lt;L'utente modifica nel tempo le proprie preferenze e i propri orari, permettendo al sistema di adattarsi ai cambiamenti del suo stile di vita.&gt;</t>
  </si>
  <si>
    <t>T3 - Visualizzazione suggerimenti personalizzati &lt;L'utente consulta gli eventi suggeriti dal sistema, filtrati automaticamente in base ai suoi gusti e alla disponibilità temporale.&gt;</t>
  </si>
  <si>
    <t>T4 - Analisi dettagli evento &lt;L'utente seleziona un evento per visualizzarne i dettagli (luogo, durata, disponibilità, descrizione, distanza).&gt;</t>
  </si>
  <si>
    <t>T5 - Prenotazione evento &lt;L'utente prenota un evento direttamente dall'app in pochi passaggi, senza dover usare piattaforme esterne.&gt;</t>
  </si>
  <si>
    <t>T6 - Sincronizzazione con calendario &lt;L'utente salva l'evento scelto nel proprio calendario personale, integrandolo con i suoi impegni.&gt;</t>
  </si>
  <si>
    <t>T7 - Ricezione suggerimenti contestuali &lt;Il sistema propone eventi coerenti con momenti specifici della giornata o della settimana (es. "hai 2 ore libere").&gt;</t>
  </si>
  <si>
    <t>T8 - Gestione notifiche e suggerimenti &lt;L'utente controlla e personalizza il modo in cui riceve suggerimenti (non invasivi, coerenti con il concept del diario).&gt;</t>
  </si>
  <si>
    <t>Self Efficacy</t>
  </si>
  <si>
    <t>Scarso</t>
  </si>
  <si>
    <t>Sufficiente</t>
  </si>
  <si>
    <t>Buono</t>
  </si>
  <si>
    <t>Molto Buono</t>
  </si>
  <si>
    <t>Eccellente</t>
  </si>
  <si>
    <t>Valore</t>
  </si>
  <si>
    <t xml:space="preserve">T1_SE1_Creazione
</t>
  </si>
  <si>
    <t>Quanto ti senti capace di inserire i tuoi interessi in modo che il sistema ti capisca perfettamente?</t>
  </si>
  <si>
    <t>x</t>
  </si>
  <si>
    <t>T1_SE2_Creazione</t>
  </si>
  <si>
    <t>Sei sicuro di riuscire a configurare la tua disponibilità oraria senza fare confusione tra i giorni?</t>
  </si>
  <si>
    <t>T1_SE3_Creazione</t>
  </si>
  <si>
    <t>Quanto ti senti in grado di completare l’intera procedura di setup iniziale senza consultare una guida?</t>
  </si>
  <si>
    <t>Knowledge&amp;Skills</t>
  </si>
  <si>
    <t>T1_KS1_Creazione</t>
  </si>
  <si>
    <t>Hai capito quali tipi di hobby e preferenze culturali sono più rilevanti per il sistema?</t>
  </si>
  <si>
    <t>T1_KS2_Creazione</t>
  </si>
  <si>
    <t>Sai distinguere tra le diverse categorie di interessi messe a disposizione dall'app?</t>
  </si>
  <si>
    <t>T1_KS3_Creazione</t>
  </si>
  <si>
    <t>Conosci la differenza tra inserire un interesse generico e uno specifico in questa fase?</t>
  </si>
  <si>
    <t>Personal Control</t>
  </si>
  <si>
    <t>T1_PC1_Creazione</t>
  </si>
  <si>
    <t>Senti di poter decidere liberamente quali aspetti della tua vita privata omettere dal diario?</t>
  </si>
  <si>
    <t>T1_PC2_Creazione</t>
  </si>
  <si>
    <t>Ti senti padrone della scelta di quanto tempo dedicare a questa configurazione iniziale?</t>
  </si>
  <si>
    <t>Motivation</t>
  </si>
  <si>
    <t>T1_MOT1_Creazione</t>
  </si>
  <si>
    <t>Quanto ti stimola l'idea che, compilando il diario, l'app diventerà uno specchio dei tuoi gusti?</t>
  </si>
  <si>
    <t>Sei spinto a inserire più dettagli possibili per ottenere suggerimenti di alta qualità?</t>
  </si>
  <si>
    <t xml:space="preserve">T2_SE1_Aggiornamento </t>
  </si>
  <si>
    <t>Quanto ti senti sicuro di poter modificare i tuoi orari quando il tuo stile di vita cambia?</t>
  </si>
  <si>
    <t xml:space="preserve">T2_SE2_Aggiornamento </t>
  </si>
  <si>
    <t>Ti senti in grado di eliminare un vecchio interesse che non ti appartiene più in pochi secondi?</t>
  </si>
  <si>
    <t xml:space="preserve">T2_SE3_Aggiornamento </t>
  </si>
  <si>
    <t>Sei certo di riuscire a mantenere il diario aggiornato anche se hai poco tempo a disposizione?</t>
  </si>
  <si>
    <t xml:space="preserve">T2_KS1_Aggiornamento </t>
  </si>
  <si>
    <t>Sai in quale sezione del profilo devi recarti per modificare la tua disponibilità settimanale?</t>
  </si>
  <si>
    <t xml:space="preserve">T2_KS2_Aggiornamento </t>
  </si>
  <si>
    <t>Hai compreso come le modifiche che apporti oggi influenzeranno i suggerimenti di domani?</t>
  </si>
  <si>
    <t xml:space="preserve">T2_KS3_Aggiornamento </t>
  </si>
  <si>
    <t>Conosci la procedura per salvare correttamente i cambiamenti apportati alle preferenze?</t>
  </si>
  <si>
    <t xml:space="preserve">T2_PC1_Aggiornamento </t>
  </si>
  <si>
    <t>Senti di avere il controllo totale sulla frequenza con cui puoi cambiare i tuoi dati?</t>
  </si>
  <si>
    <t xml:space="preserve">T2_PC2_Aggiornamento </t>
  </si>
  <si>
    <t>Ti senti libero di resettare completamente le tue preferenze se decidi di cambiare interessi?</t>
  </si>
  <si>
    <t>T3_SE1_Visualizzazione</t>
  </si>
  <si>
    <t>Quanto ti senti capace di individuare rapidamente l'evento perfetto tra quelli proposti?</t>
  </si>
  <si>
    <t>T3_SE2_Visualizzazione</t>
  </si>
  <si>
    <t>Sei sicuro di saper navigare tra i vari suggerimenti senza sentirti sopraffatto?</t>
  </si>
  <si>
    <t>X</t>
  </si>
  <si>
    <t>T3_SE3_Visualizzazione</t>
  </si>
  <si>
    <t>Ti senti in grado di interpretare correttamente i simboli che indicano la compatibilità con i tuoi gusti?</t>
  </si>
  <si>
    <t>T3_KS1_Visualizzazione</t>
  </si>
  <si>
    <t>Sai come vengono ordinati i suggerimenti che vedi sulla schermata principale?</t>
  </si>
  <si>
    <t>T3_KS2_Visualizzazione</t>
  </si>
  <si>
    <t>Hai capito perché alcuni eventi appaiono come "prioritari" rispetto ad altri?</t>
  </si>
  <si>
    <t>T3_KS3_Visualizzazione</t>
  </si>
  <si>
    <t>Conosci il significato dei tag di categorizzazione associati a ogni suggerimento?</t>
  </si>
  <si>
    <t>T3_MOT1_Visualizzazione</t>
  </si>
  <si>
    <t>Quanto ti entusiasma scoprire attività nuove che non avresti mai cercato da solo?</t>
  </si>
  <si>
    <t>Ti senti spronato a usare l'app ogni mattina per vedere cosa ha selezionato per te?</t>
  </si>
  <si>
    <t>T4_SE1_Analisi</t>
  </si>
  <si>
    <t>Quanto ti senti sicuro nel valutare se un evento è raggiungibile in tempo basandoti sulla distanza indicata?</t>
  </si>
  <si>
    <t>T4_SE2_Analisi</t>
  </si>
  <si>
    <t>Ti senti in grado di capire se un evento è adatto al tuo budget leggendo i dettagli?</t>
  </si>
  <si>
    <t>T4_SE3_Analisi</t>
  </si>
  <si>
    <t>Sei certo di poter decidere se partecipare a un evento dopo aver letto la sua descrizione tecnica?</t>
  </si>
  <si>
    <t>T4_KS1_Analisi</t>
  </si>
  <si>
    <t>Sai dove trovare l'informazione relativa alla durata stimata dell'evento?</t>
  </si>
  <si>
    <t>T4_KS2_Analisi</t>
  </si>
  <si>
    <t>Comprendi come leggere le mappe o le indicazioni stradali fornite nella scheda?</t>
  </si>
  <si>
    <t>T4_KS3_Analisi</t>
  </si>
  <si>
    <t>Hai capito come verificare se ci sono ancora posti disponibili per l'attività scelta?</t>
  </si>
  <si>
    <t>T4_MOT1_Analisi</t>
  </si>
  <si>
    <t>Quanto ti senti rassicurato dal fatto di avere tutte le informazioni in un'unica schermata?</t>
  </si>
  <si>
    <t>Ti senti più propenso a uscire di casa se le informazioni fornite sono complete e chiare?</t>
  </si>
  <si>
    <t xml:space="preserve">T5_SE1_Prenotazione </t>
  </si>
  <si>
    <t>Quanto ti senti capace di confermare una prenotazione senza commettere errori di clic?</t>
  </si>
  <si>
    <t xml:space="preserve">T5_SE2_Prenotazione </t>
  </si>
  <si>
    <t>Sei sicuro di riuscire a gestire l'intera transazione (o conferma) in totale autonomia?</t>
  </si>
  <si>
    <t>T5_SE3_Prenotazione</t>
  </si>
  <si>
    <t>Ti senti in grado di recuperare il ticket o la conferma di prenotazione una volta terminato il processo?</t>
  </si>
  <si>
    <t xml:space="preserve">T5_KS1_Prenotazione </t>
  </si>
  <si>
    <t>Conosci i passaggi necessari per finalizzare la prenotazione all'interno dell'app?</t>
  </si>
  <si>
    <t xml:space="preserve">T5_KS2_Prenotazione </t>
  </si>
  <si>
    <t>Sai quali dati ti verranno richiesti per confermare la tua presenza all'evento?</t>
  </si>
  <si>
    <t xml:space="preserve">T5_KS3_Prenotazione </t>
  </si>
  <si>
    <t>Hai capito cosa fare nel caso in cui tu debba annullare una prenotazione già effettuata?</t>
  </si>
  <si>
    <t xml:space="preserve">T5_PC1_Prenotazione </t>
  </si>
  <si>
    <t>Senti di poter annullare l'operazione in qualsiasi momento prima della conferma definitiva?</t>
  </si>
  <si>
    <t xml:space="preserve">T5_PC2_Prenotazione </t>
  </si>
  <si>
    <t>Ti senti in controllo della scelta del metodo di conferma o di pagamento?</t>
  </si>
  <si>
    <t xml:space="preserve">T5_MOT1_Prenotazione </t>
  </si>
  <si>
    <t>Quanto valore dai alla possibilità di prenotare "al volo" senza cambiare applicazione?</t>
  </si>
  <si>
    <t>Ti senti più invogliato a partecipare agli eventi sapendo che la prenotazione richiede pochi secondi?</t>
  </si>
  <si>
    <t xml:space="preserve">T6_SE1_Sincronizzazione </t>
  </si>
  <si>
    <t>Quanto ti senti sicuro nel collegare l'app al tuo calendario (es. Google o Apple)?</t>
  </si>
  <si>
    <t xml:space="preserve">T6_SE2_Sincronizzazione </t>
  </si>
  <si>
    <t>Sei certo di saper risolvere eventuali conflitti di orario che il sistema potrebbe segnalarti?</t>
  </si>
  <si>
    <t xml:space="preserve">T6_SE3_Sincronizzazione </t>
  </si>
  <si>
    <t>Ti senti in grado di rimuovere un evento dal calendario se decidi di non andare più?</t>
  </si>
  <si>
    <t xml:space="preserve">T6_PC1_Sincronizzazione </t>
  </si>
  <si>
    <t>Senti di poter scegliere su quale dei tuoi calendari (lavoro, privato, ecc.) salvare l'evento?</t>
  </si>
  <si>
    <t xml:space="preserve">T6_PC2_Sincronizzazione </t>
  </si>
  <si>
    <t>Ti senti padrone della decisione di quali dettagli dell'evento mostrare nel calendario esterno?</t>
  </si>
  <si>
    <t xml:space="preserve">T6_MOT1_Sincronizzazione </t>
  </si>
  <si>
    <t>Quanto ti senti sollevato nel sapere che non dovrai scrivere a mano l'impegno nel tuo diario?</t>
  </si>
  <si>
    <t>Ti motiva l'idea di avere una visione d'insieme perfetta tra i tuoi doveri e i tuoi hobby?</t>
  </si>
  <si>
    <t xml:space="preserve">T7_SE1_Ricezione </t>
  </si>
  <si>
    <t>Quanto ti senti capace di cogliere al volo un'opportunità suggerita dal sistema in un momento libero?</t>
  </si>
  <si>
    <t xml:space="preserve">T7_SE2_Ricezione </t>
  </si>
  <si>
    <t>Sei sicuro di saper gestire un cambio di programma basandoti su un suggerimento improvviso?</t>
  </si>
  <si>
    <t xml:space="preserve">T7_SE3_Ricezione </t>
  </si>
  <si>
    <t>Ti senti in grado di valutare rapidamente se il suggerimento "last minute" è compatibile con la tua energia?</t>
  </si>
  <si>
    <t xml:space="preserve">T7_KS1_Ricezione </t>
  </si>
  <si>
    <t>Capisci perché l'app ti sta disturbando proprio in quel momento della giornata?</t>
  </si>
  <si>
    <t>Sai come l'app deduce che hai "due ore libere" (es. dai buchi nel calendario)?</t>
  </si>
  <si>
    <t xml:space="preserve">T7_KS3_Ricezione </t>
  </si>
  <si>
    <t>Conosci il modo per dire al sistema che in quel momento non vuoi ricevere suggerimenti?</t>
  </si>
  <si>
    <t xml:space="preserve">T7_PC1_Ricezione </t>
  </si>
  <si>
    <t>Senti di poter silenziare questi suggerimenti se ti trovi in una giornata particolarmente stressante?</t>
  </si>
  <si>
    <t xml:space="preserve">T7_PC2_Ricezione </t>
  </si>
  <si>
    <t>Ti senti libero di ignorare la proposta senza che l'app te la riproponga ossessivamente?</t>
  </si>
  <si>
    <t xml:space="preserve">T7_MOT1_Ricezione </t>
  </si>
  <si>
    <t>Quanto ti entusiasma l'idea di avere un assistente che trova attività per te quando sei annoiato?</t>
  </si>
  <si>
    <t>Ti senti stimolato a essere più spontaneo grazie ai suggerimenti contestuali dell'app?</t>
  </si>
  <si>
    <t xml:space="preserve">T8_SE1_Gestione </t>
  </si>
  <si>
    <t>Quanto ti senti sicuro di poter impostare le notifiche in modo che non siano mai fastidiose?</t>
  </si>
  <si>
    <t xml:space="preserve">T8_SE2_Gestione </t>
  </si>
  <si>
    <t>Sei in grado di trovare il giusto equilibrio tra ricezione di info e tranquillità personale?</t>
  </si>
  <si>
    <t xml:space="preserve">T8_SE3_Gestione </t>
  </si>
  <si>
    <t>Ti senti capace di riattivare le notifiche se dovessi accorgerti di perdere eventi interessanti?</t>
  </si>
  <si>
    <t xml:space="preserve">T8_PC1_Gestione </t>
  </si>
  <si>
    <t>Senti di avere il potere di "zittire" l'app completamente se ne senti il bisogno?</t>
  </si>
  <si>
    <t xml:space="preserve">T8_PC2_Gestione </t>
  </si>
  <si>
    <t>Ti senti in controllo della modalità con cui il "diario" interagisce con te durante il giorno?</t>
  </si>
  <si>
    <t xml:space="preserve">T8_MOT1_Gestione </t>
  </si>
  <si>
    <t>Quanto ti rassicura sapere che l'app non sarà invasiva se decidi di limitare le notifiche?</t>
  </si>
  <si>
    <t>T8_MOT1_Gestione</t>
  </si>
  <si>
    <t>Ti senti più propenso a tenere l'app installata sapendo di poter gestire ogni singola notifica?</t>
  </si>
  <si>
    <t>Task</t>
  </si>
  <si>
    <t>ISE</t>
  </si>
  <si>
    <t xml:space="preserve">IKS </t>
  </si>
  <si>
    <t xml:space="preserve">IPC </t>
  </si>
  <si>
    <t>IMOT</t>
  </si>
  <si>
    <t xml:space="preserve">T1 </t>
  </si>
  <si>
    <t>T2</t>
  </si>
  <si>
    <t>N/A</t>
  </si>
  <si>
    <t>T3</t>
  </si>
  <si>
    <t>T4</t>
  </si>
  <si>
    <t>T5</t>
  </si>
  <si>
    <t>T6</t>
  </si>
  <si>
    <t>T7</t>
  </si>
  <si>
    <t>T8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</si>
</sst>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sz val="12.0"/>
      <color theme="1"/>
      <name val="Calibri"/>
    </font>
    <font>
      <b/>
      <i/>
      <sz val="16.0"/>
      <color rgb="FF003366"/>
      <name val="Times New Roman"/>
    </font>
    <font>
      <color theme="1"/>
      <name val="Arial"/>
    </font>
    <font>
      <i/>
      <sz val="12.0"/>
      <color theme="1"/>
      <name val="Calibri"/>
    </font>
    <font>
      <sz val="16.0"/>
      <color rgb="FF003366"/>
      <name val="Times"/>
    </font>
    <font>
      <color theme="1"/>
      <name val="Calibri"/>
      <scheme val="minor"/>
    </font>
    <font>
      <b/>
      <sz val="12.0"/>
      <color theme="1"/>
      <name val="Calibri"/>
    </font>
    <font>
      <b/>
      <color theme="1"/>
      <name val="Calibri"/>
      <scheme val="minor"/>
    </font>
    <font>
      <b/>
      <i/>
      <sz val="16.0"/>
      <color rgb="FF000000"/>
      <name val="Times New Roman"/>
    </font>
    <font>
      <sz val="16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CBDEDE"/>
        <bgColor rgb="FFCBDEDE"/>
      </patternFill>
    </fill>
    <fill>
      <patternFill patternType="solid">
        <fgColor theme="0"/>
        <bgColor theme="0"/>
      </patternFill>
    </fill>
    <fill>
      <patternFill patternType="solid">
        <fgColor rgb="FFE7EFEF"/>
        <bgColor rgb="FFE7EFEF"/>
      </patternFill>
    </fill>
    <fill>
      <patternFill patternType="solid">
        <fgColor rgb="FFFFFFFF"/>
        <bgColor rgb="FFFFFFFF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</fills>
  <borders count="5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/>
      <bottom/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1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1" fillId="2" fontId="5" numFmtId="0" xfId="0" applyAlignment="1" applyBorder="1" applyFont="1">
      <alignment horizontal="center" readingOrder="1" shrinkToFit="0" vertical="center" wrapText="1"/>
    </xf>
    <xf borderId="2" fillId="2" fontId="5" numFmtId="0" xfId="0" applyAlignment="1" applyBorder="1" applyFont="1">
      <alignment horizontal="center" readingOrder="1" shrinkToFit="0" vertical="center" wrapText="1"/>
    </xf>
    <xf borderId="0" fillId="3" fontId="5" numFmtId="0" xfId="0" applyAlignment="1" applyFill="1" applyFont="1">
      <alignment horizontal="center" readingOrder="1" shrinkToFit="0" vertical="center" wrapText="1"/>
    </xf>
    <xf borderId="1" fillId="2" fontId="5" numFmtId="0" xfId="0" applyAlignment="1" applyBorder="1" applyFont="1">
      <alignment horizontal="center" readingOrder="1" shrinkToFit="0" vertical="center" wrapText="1"/>
    </xf>
    <xf borderId="0" fillId="0" fontId="1" numFmtId="0" xfId="0" applyAlignment="1" applyFont="1">
      <alignment readingOrder="0" shrinkToFit="0" wrapText="1"/>
    </xf>
    <xf borderId="0" fillId="0" fontId="6" numFmtId="0" xfId="0" applyFont="1"/>
    <xf borderId="1" fillId="4" fontId="5" numFmtId="0" xfId="0" applyAlignment="1" applyBorder="1" applyFill="1" applyFont="1">
      <alignment horizontal="center" readingOrder="1" shrinkToFit="0" vertical="center" wrapText="1"/>
    </xf>
    <xf borderId="0" fillId="0" fontId="6" numFmtId="0" xfId="0" applyAlignment="1" applyFont="1">
      <alignment readingOrder="0"/>
    </xf>
    <xf borderId="1" fillId="4" fontId="5" numFmtId="0" xfId="0" applyAlignment="1" applyBorder="1" applyFont="1">
      <alignment horizontal="center" readingOrder="1" shrinkToFit="0" vertical="center" wrapText="1"/>
    </xf>
    <xf borderId="0" fillId="0" fontId="1" numFmtId="0" xfId="0" applyAlignment="1" applyFont="1">
      <alignment horizontal="left"/>
    </xf>
    <xf borderId="3" fillId="2" fontId="5" numFmtId="0" xfId="0" applyAlignment="1" applyBorder="1" applyFont="1">
      <alignment horizontal="center" readingOrder="1" shrinkToFit="0" vertical="center" wrapText="1"/>
    </xf>
    <xf borderId="4" fillId="5" fontId="5" numFmtId="0" xfId="0" applyAlignment="1" applyBorder="1" applyFill="1" applyFont="1">
      <alignment horizontal="center" readingOrder="1" shrinkToFit="0" vertical="center" wrapText="1"/>
    </xf>
    <xf borderId="0" fillId="0" fontId="1" numFmtId="0" xfId="0" applyAlignment="1" applyFont="1">
      <alignment vertical="bottom"/>
    </xf>
    <xf borderId="1" fillId="2" fontId="5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 shrinkToFit="0" vertical="bottom" wrapText="1"/>
    </xf>
    <xf borderId="1" fillId="4" fontId="5" numFmtId="0" xfId="0" applyAlignment="1" applyBorder="1" applyFont="1">
      <alignment horizontal="center" readingOrder="0" shrinkToFit="0" wrapText="1"/>
    </xf>
    <xf borderId="1" fillId="4" fontId="1" numFmtId="0" xfId="0" applyBorder="1" applyFont="1"/>
    <xf borderId="1" fillId="2" fontId="5" numFmtId="0" xfId="0" applyAlignment="1" applyBorder="1" applyFont="1">
      <alignment horizontal="center" shrinkToFit="0" wrapText="1"/>
    </xf>
    <xf borderId="2" fillId="2" fontId="5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1" fillId="4" fontId="5" numFmtId="0" xfId="0" applyAlignment="1" applyBorder="1" applyFont="1">
      <alignment horizontal="center" shrinkToFit="0" wrapText="1"/>
    </xf>
    <xf borderId="1" fillId="4" fontId="1" numFmtId="0" xfId="0" applyBorder="1" applyFont="1"/>
    <xf borderId="1" fillId="2" fontId="1" numFmtId="0" xfId="0" applyBorder="1" applyFont="1"/>
    <xf borderId="0" fillId="0" fontId="1" numFmtId="0" xfId="0" applyAlignment="1" applyFont="1">
      <alignment vertical="bottom"/>
    </xf>
    <xf borderId="1" fillId="4" fontId="1" numFmtId="0" xfId="0" applyBorder="1" applyFont="1"/>
    <xf borderId="1" fillId="2" fontId="5" numFmtId="0" xfId="0" applyAlignment="1" applyBorder="1" applyFont="1">
      <alignment horizontal="center" shrinkToFit="0" wrapText="1"/>
    </xf>
    <xf borderId="1" fillId="4" fontId="5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vertical="bottom" wrapText="1"/>
    </xf>
    <xf borderId="3" fillId="2" fontId="5" numFmtId="0" xfId="0" applyAlignment="1" applyBorder="1" applyFont="1">
      <alignment horizontal="center" shrinkToFit="0" wrapText="1"/>
    </xf>
    <xf borderId="4" fillId="5" fontId="1" numFmtId="0" xfId="0" applyBorder="1" applyFont="1"/>
    <xf borderId="1" fillId="4" fontId="5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vertical="bottom" wrapText="1"/>
    </xf>
    <xf borderId="4" fillId="5" fontId="1" numFmtId="0" xfId="0" applyAlignment="1" applyBorder="1" applyFont="1">
      <alignment readingOrder="0"/>
    </xf>
    <xf borderId="1" fillId="2" fontId="5" numFmtId="0" xfId="0" applyAlignment="1" applyBorder="1" applyFont="1">
      <alignment horizontal="center" shrinkToFit="0" vertical="bottom" wrapText="1"/>
    </xf>
    <xf borderId="1" fillId="4" fontId="5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vertical="bottom"/>
    </xf>
    <xf borderId="0" fillId="5" fontId="5" numFmtId="0" xfId="0" applyAlignment="1" applyFont="1">
      <alignment horizontal="center" readingOrder="1" shrinkToFit="0" vertical="center" wrapText="1"/>
    </xf>
    <xf borderId="0" fillId="0" fontId="7" numFmtId="0" xfId="0" applyFont="1"/>
    <xf borderId="0" fillId="0" fontId="8" numFmtId="0" xfId="0" applyFont="1"/>
    <xf borderId="1" fillId="6" fontId="9" numFmtId="4" xfId="0" applyAlignment="1" applyBorder="1" applyFill="1" applyFont="1" applyNumberFormat="1">
      <alignment horizontal="center" readingOrder="1" shrinkToFit="0" vertical="center" wrapText="1"/>
    </xf>
    <xf borderId="1" fillId="7" fontId="10" numFmtId="4" xfId="0" applyAlignment="1" applyBorder="1" applyFill="1" applyFont="1" applyNumberFormat="1">
      <alignment horizontal="center" readingOrder="1" shrinkToFit="0" vertical="center" wrapText="1"/>
    </xf>
    <xf borderId="1" fillId="6" fontId="10" numFmtId="4" xfId="0" applyAlignment="1" applyBorder="1" applyFont="1" applyNumberFormat="1">
      <alignment horizontal="center" readingOrder="1" shrinkToFit="0" vertical="center" wrapText="1"/>
    </xf>
  </cellXfs>
  <cellStyles count="1">
    <cellStyle xfId="0" name="Normal" builtinId="0"/>
  </cellStyles>
  <dxfs count="2"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3.67"/>
    <col customWidth="1" min="2" max="2" width="65.44"/>
    <col customWidth="1" min="3" max="3" width="19.89"/>
    <col customWidth="1" min="4" max="4" width="17.78"/>
    <col customWidth="1" min="5" max="5" width="13.67"/>
    <col customWidth="1" min="6" max="26" width="8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4</v>
      </c>
      <c r="B2" s="4" t="s">
        <v>5</v>
      </c>
      <c r="C2" s="4" t="s">
        <v>6</v>
      </c>
      <c r="D2" s="5" t="s">
        <v>7</v>
      </c>
      <c r="E2" s="4" t="s">
        <v>8</v>
      </c>
    </row>
    <row r="3">
      <c r="A3" s="3" t="s">
        <v>9</v>
      </c>
      <c r="B3" s="5" t="s">
        <v>5</v>
      </c>
      <c r="C3" s="4" t="s">
        <v>6</v>
      </c>
      <c r="D3" s="5" t="s">
        <v>7</v>
      </c>
      <c r="E3" s="4"/>
    </row>
    <row r="4">
      <c r="A4" s="3" t="s">
        <v>10</v>
      </c>
      <c r="B4" s="5" t="s">
        <v>5</v>
      </c>
      <c r="C4" s="4" t="s">
        <v>6</v>
      </c>
      <c r="D4" s="5"/>
      <c r="E4" s="4" t="s">
        <v>8</v>
      </c>
    </row>
    <row r="5" ht="15.75" customHeight="1">
      <c r="A5" s="3" t="s">
        <v>11</v>
      </c>
      <c r="B5" s="3" t="s">
        <v>5</v>
      </c>
      <c r="C5" s="4" t="s">
        <v>6</v>
      </c>
      <c r="D5" s="5"/>
      <c r="E5" s="4" t="s">
        <v>8</v>
      </c>
    </row>
    <row r="6" ht="14.25" customHeight="1">
      <c r="A6" s="3" t="s">
        <v>12</v>
      </c>
      <c r="B6" s="3" t="s">
        <v>5</v>
      </c>
      <c r="C6" s="4" t="s">
        <v>6</v>
      </c>
      <c r="D6" s="5" t="s">
        <v>7</v>
      </c>
      <c r="E6" s="4" t="s">
        <v>8</v>
      </c>
    </row>
    <row r="7" ht="14.25" customHeight="1">
      <c r="A7" s="6" t="s">
        <v>13</v>
      </c>
      <c r="B7" s="3"/>
      <c r="C7" s="4" t="s">
        <v>6</v>
      </c>
      <c r="D7" s="5" t="s">
        <v>7</v>
      </c>
      <c r="E7" s="4" t="s">
        <v>8</v>
      </c>
    </row>
    <row r="8" ht="13.5" customHeight="1">
      <c r="A8" s="3" t="s">
        <v>14</v>
      </c>
      <c r="B8" s="3" t="s">
        <v>5</v>
      </c>
      <c r="C8" s="4" t="s">
        <v>6</v>
      </c>
      <c r="D8" s="5" t="s">
        <v>7</v>
      </c>
      <c r="E8" s="4" t="s">
        <v>8</v>
      </c>
    </row>
    <row r="9" ht="15.75" customHeight="1">
      <c r="A9" s="6" t="s">
        <v>15</v>
      </c>
      <c r="B9" s="3"/>
      <c r="C9" s="4" t="s">
        <v>6</v>
      </c>
      <c r="D9" s="5" t="s">
        <v>7</v>
      </c>
      <c r="E9" s="4" t="s">
        <v>8</v>
      </c>
    </row>
    <row r="10">
      <c r="C10" s="7"/>
      <c r="E10" s="7"/>
    </row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6" width="8.67"/>
  </cols>
  <sheetData>
    <row r="1"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9" t="s">
        <v>22</v>
      </c>
      <c r="I1" s="10"/>
    </row>
    <row r="2" ht="39.75" customHeight="1">
      <c r="A2" s="11" t="s">
        <v>23</v>
      </c>
      <c r="B2" s="12" t="s">
        <v>24</v>
      </c>
      <c r="E2" s="13" t="s">
        <v>25</v>
      </c>
      <c r="H2" s="13">
        <f t="shared" ref="H2:H4" si="1">IF(C2="X",1)+IF(D2="X",2)+IF(E2="X",3)+IF(F2="X",4)+IF(G2="X",5)</f>
        <v>3</v>
      </c>
    </row>
    <row r="3">
      <c r="A3" s="14" t="s">
        <v>26</v>
      </c>
      <c r="B3" s="12" t="s">
        <v>27</v>
      </c>
      <c r="G3" s="15" t="s">
        <v>25</v>
      </c>
      <c r="H3" s="13">
        <f t="shared" si="1"/>
        <v>5</v>
      </c>
    </row>
    <row r="4">
      <c r="A4" s="11" t="s">
        <v>28</v>
      </c>
      <c r="B4" s="12" t="s">
        <v>29</v>
      </c>
      <c r="D4" s="15" t="s">
        <v>25</v>
      </c>
      <c r="E4" s="15"/>
      <c r="H4" s="13">
        <f t="shared" si="1"/>
        <v>2</v>
      </c>
    </row>
    <row r="5">
      <c r="A5" s="16"/>
      <c r="B5" s="8" t="s">
        <v>30</v>
      </c>
    </row>
    <row r="6">
      <c r="A6" s="11" t="s">
        <v>31</v>
      </c>
      <c r="B6" s="12" t="s">
        <v>32</v>
      </c>
      <c r="F6" s="15" t="s">
        <v>25</v>
      </c>
      <c r="H6" s="13">
        <f t="shared" ref="H6:H8" si="2">IF(C6="X",1)+IF(D6="X",2)+IF(E6="X",3)+IF(F6="X",4)+IF(G6="X",5)</f>
        <v>4</v>
      </c>
    </row>
    <row r="7">
      <c r="A7" s="14" t="s">
        <v>33</v>
      </c>
      <c r="B7" s="12" t="s">
        <v>34</v>
      </c>
      <c r="F7" s="15"/>
      <c r="G7" s="15" t="s">
        <v>25</v>
      </c>
      <c r="H7" s="13">
        <f t="shared" si="2"/>
        <v>5</v>
      </c>
    </row>
    <row r="8">
      <c r="A8" s="11" t="s">
        <v>35</v>
      </c>
      <c r="B8" s="12" t="s">
        <v>36</v>
      </c>
      <c r="E8" s="15" t="s">
        <v>25</v>
      </c>
      <c r="H8" s="13">
        <f t="shared" si="2"/>
        <v>3</v>
      </c>
    </row>
    <row r="9">
      <c r="A9" s="16"/>
      <c r="B9" s="8" t="s">
        <v>37</v>
      </c>
    </row>
    <row r="10">
      <c r="A10" s="11" t="s">
        <v>38</v>
      </c>
      <c r="B10" s="12" t="s">
        <v>39</v>
      </c>
      <c r="G10" s="15" t="s">
        <v>25</v>
      </c>
      <c r="H10" s="13">
        <f t="shared" ref="H10:H11" si="3">IF(C10="X",1)+IF(D10="X",2)+IF(E10="X",3)+IF(F10="X",4)+IF(G10="X",5)</f>
        <v>5</v>
      </c>
    </row>
    <row r="11">
      <c r="A11" s="14" t="s">
        <v>40</v>
      </c>
      <c r="B11" s="12" t="s">
        <v>41</v>
      </c>
      <c r="F11" s="15" t="s">
        <v>25</v>
      </c>
      <c r="H11" s="13">
        <f t="shared" si="3"/>
        <v>4</v>
      </c>
    </row>
    <row r="12">
      <c r="A12" s="16"/>
      <c r="B12" s="8" t="s">
        <v>42</v>
      </c>
    </row>
    <row r="13">
      <c r="A13" s="11" t="s">
        <v>43</v>
      </c>
      <c r="B13" s="12" t="s">
        <v>44</v>
      </c>
      <c r="G13" s="13" t="s">
        <v>25</v>
      </c>
      <c r="H13" s="13">
        <f t="shared" ref="H13:H14" si="4">IF(C13="X",1)+IF(D13="X",2)+IF(E13="X",3)+IF(F13="X",4)+IF(G13="X",5)</f>
        <v>5</v>
      </c>
      <c r="I13" s="17"/>
    </row>
    <row r="14">
      <c r="A14" s="14" t="s">
        <v>43</v>
      </c>
      <c r="B14" s="12" t="s">
        <v>45</v>
      </c>
      <c r="G14" s="13" t="s">
        <v>25</v>
      </c>
      <c r="H14" s="13">
        <f t="shared" si="4"/>
        <v>5</v>
      </c>
    </row>
    <row r="15">
      <c r="A15" s="8"/>
      <c r="B15" s="8" t="s">
        <v>16</v>
      </c>
    </row>
    <row r="16">
      <c r="A16" s="11" t="s">
        <v>46</v>
      </c>
      <c r="B16" s="12" t="s">
        <v>47</v>
      </c>
      <c r="D16" s="15" t="s">
        <v>25</v>
      </c>
      <c r="H16" s="13">
        <f t="shared" ref="H16:H18" si="5">IF(C16="X",1)+IF(D16="X",2)+IF(E16="X",3)+IF(F16="X",4)+IF(G16="X",5)</f>
        <v>2</v>
      </c>
    </row>
    <row r="17">
      <c r="A17" s="14" t="s">
        <v>48</v>
      </c>
      <c r="B17" s="12" t="s">
        <v>49</v>
      </c>
      <c r="C17" s="15" t="s">
        <v>25</v>
      </c>
      <c r="H17" s="13">
        <f t="shared" si="5"/>
        <v>1</v>
      </c>
    </row>
    <row r="18">
      <c r="A18" s="11" t="s">
        <v>50</v>
      </c>
      <c r="B18" s="12" t="s">
        <v>51</v>
      </c>
      <c r="F18" s="15" t="s">
        <v>25</v>
      </c>
      <c r="H18" s="13">
        <f t="shared" si="5"/>
        <v>4</v>
      </c>
    </row>
    <row r="19">
      <c r="A19" s="16"/>
      <c r="B19" s="8" t="s">
        <v>30</v>
      </c>
    </row>
    <row r="20">
      <c r="A20" s="11" t="s">
        <v>52</v>
      </c>
      <c r="B20" s="12" t="s">
        <v>53</v>
      </c>
      <c r="F20" s="13" t="s">
        <v>25</v>
      </c>
      <c r="H20" s="13">
        <f t="shared" ref="H20:H22" si="6">IF(C20="X",1)+IF(D20="X",2)+IF(E20="X",3)+IF(F20="X",4)+IF(G20="X",5)</f>
        <v>4</v>
      </c>
    </row>
    <row r="21">
      <c r="A21" s="14" t="s">
        <v>54</v>
      </c>
      <c r="B21" s="12" t="s">
        <v>55</v>
      </c>
      <c r="F21" s="15" t="s">
        <v>25</v>
      </c>
      <c r="H21" s="13">
        <f t="shared" si="6"/>
        <v>4</v>
      </c>
    </row>
    <row r="22">
      <c r="A22" s="11" t="s">
        <v>56</v>
      </c>
      <c r="B22" s="12" t="s">
        <v>57</v>
      </c>
      <c r="E22" s="15" t="s">
        <v>25</v>
      </c>
      <c r="H22" s="13">
        <f t="shared" si="6"/>
        <v>3</v>
      </c>
    </row>
    <row r="23">
      <c r="A23" s="16"/>
      <c r="B23" s="8" t="s">
        <v>37</v>
      </c>
    </row>
    <row r="24">
      <c r="A24" s="11" t="s">
        <v>58</v>
      </c>
      <c r="B24" s="12" t="s">
        <v>59</v>
      </c>
      <c r="G24" s="15" t="s">
        <v>25</v>
      </c>
      <c r="H24" s="13">
        <f t="shared" ref="H24:H25" si="7">IF(C24="X",1)+IF(D24="X",2)+IF(E24="X",3)+IF(F24="X",4)+IF(G24="X",5)</f>
        <v>5</v>
      </c>
    </row>
    <row r="25">
      <c r="A25" s="14" t="s">
        <v>60</v>
      </c>
      <c r="B25" s="12" t="s">
        <v>61</v>
      </c>
      <c r="D25" s="15" t="s">
        <v>25</v>
      </c>
      <c r="H25" s="13">
        <f t="shared" si="7"/>
        <v>2</v>
      </c>
    </row>
    <row r="26">
      <c r="B26" s="8" t="s">
        <v>16</v>
      </c>
      <c r="C26" s="8" t="s">
        <v>17</v>
      </c>
      <c r="D26" s="8" t="s">
        <v>18</v>
      </c>
      <c r="E26" s="8" t="s">
        <v>19</v>
      </c>
      <c r="F26" s="8" t="s">
        <v>20</v>
      </c>
      <c r="G26" s="8" t="s">
        <v>21</v>
      </c>
      <c r="H26" s="9" t="s">
        <v>22</v>
      </c>
      <c r="I26" s="10"/>
    </row>
    <row r="27">
      <c r="A27" s="11" t="s">
        <v>62</v>
      </c>
      <c r="B27" s="12" t="s">
        <v>63</v>
      </c>
      <c r="F27" s="15" t="s">
        <v>25</v>
      </c>
      <c r="H27" s="13">
        <f t="shared" ref="H27:H29" si="8">IF(C27="X",1)+IF(D27="X",2)+IF(E27="X",3)+IF(F27="X",4)+IF(G27="X",5)</f>
        <v>4</v>
      </c>
    </row>
    <row r="28">
      <c r="A28" s="14" t="s">
        <v>64</v>
      </c>
      <c r="B28" s="12" t="s">
        <v>65</v>
      </c>
      <c r="E28" s="13" t="s">
        <v>66</v>
      </c>
      <c r="H28" s="13">
        <f t="shared" si="8"/>
        <v>3</v>
      </c>
    </row>
    <row r="29">
      <c r="A29" s="11" t="s">
        <v>67</v>
      </c>
      <c r="B29" s="12" t="s">
        <v>68</v>
      </c>
      <c r="F29" s="15" t="s">
        <v>25</v>
      </c>
      <c r="H29" s="13">
        <f t="shared" si="8"/>
        <v>4</v>
      </c>
    </row>
    <row r="30">
      <c r="A30" s="16"/>
      <c r="B30" s="8" t="s">
        <v>30</v>
      </c>
    </row>
    <row r="31">
      <c r="A31" s="11" t="s">
        <v>69</v>
      </c>
      <c r="B31" s="12" t="s">
        <v>70</v>
      </c>
      <c r="G31" s="15" t="s">
        <v>25</v>
      </c>
      <c r="H31" s="13">
        <f t="shared" ref="H31:H33" si="9">IF(C31="X",1)+IF(D31="X",2)+IF(E31="X",3)+IF(F31="X",4)+IF(G31="X",5)</f>
        <v>5</v>
      </c>
    </row>
    <row r="32">
      <c r="A32" s="14" t="s">
        <v>71</v>
      </c>
      <c r="B32" s="12" t="s">
        <v>72</v>
      </c>
      <c r="F32" s="15" t="s">
        <v>25</v>
      </c>
      <c r="H32" s="13">
        <f t="shared" si="9"/>
        <v>4</v>
      </c>
    </row>
    <row r="33">
      <c r="A33" s="11" t="s">
        <v>73</v>
      </c>
      <c r="B33" s="12" t="s">
        <v>74</v>
      </c>
      <c r="G33" s="13" t="s">
        <v>25</v>
      </c>
      <c r="H33" s="13">
        <f t="shared" si="9"/>
        <v>5</v>
      </c>
    </row>
    <row r="34">
      <c r="A34" s="16"/>
      <c r="B34" s="8" t="s">
        <v>42</v>
      </c>
    </row>
    <row r="35">
      <c r="A35" s="11" t="s">
        <v>75</v>
      </c>
      <c r="B35" s="12" t="s">
        <v>76</v>
      </c>
      <c r="G35" s="15" t="s">
        <v>25</v>
      </c>
      <c r="H35" s="13">
        <f t="shared" ref="H35:H36" si="10">IF(C35="X",1)+IF(D35="X",2)+IF(E35="X",3)+IF(F35="X",4)+IF(G35="X",5)</f>
        <v>5</v>
      </c>
      <c r="I35" s="17"/>
    </row>
    <row r="36">
      <c r="A36" s="14" t="s">
        <v>75</v>
      </c>
      <c r="B36" s="12" t="s">
        <v>77</v>
      </c>
      <c r="F36" s="15" t="s">
        <v>25</v>
      </c>
      <c r="H36" s="13">
        <f t="shared" si="10"/>
        <v>4</v>
      </c>
    </row>
    <row r="37">
      <c r="B37" s="8" t="s">
        <v>16</v>
      </c>
      <c r="C37" s="8" t="s">
        <v>17</v>
      </c>
      <c r="D37" s="8" t="s">
        <v>18</v>
      </c>
      <c r="E37" s="8" t="s">
        <v>19</v>
      </c>
      <c r="F37" s="8" t="s">
        <v>20</v>
      </c>
      <c r="G37" s="8" t="s">
        <v>21</v>
      </c>
      <c r="H37" s="9" t="s">
        <v>22</v>
      </c>
    </row>
    <row r="38">
      <c r="A38" s="11" t="s">
        <v>78</v>
      </c>
      <c r="B38" s="12" t="s">
        <v>79</v>
      </c>
      <c r="D38" s="15"/>
      <c r="F38" s="15" t="s">
        <v>25</v>
      </c>
      <c r="H38" s="13">
        <f t="shared" ref="H38:H40" si="11">IF(C38="X",1)+IF(D38="X",2)+IF(E38="X",3)+IF(F38="X",4)+IF(G38="X",5)</f>
        <v>4</v>
      </c>
    </row>
    <row r="39">
      <c r="A39" s="14" t="s">
        <v>80</v>
      </c>
      <c r="B39" s="12" t="s">
        <v>81</v>
      </c>
      <c r="E39" s="15" t="s">
        <v>25</v>
      </c>
      <c r="H39" s="13">
        <f t="shared" si="11"/>
        <v>3</v>
      </c>
    </row>
    <row r="40">
      <c r="A40" s="11" t="s">
        <v>82</v>
      </c>
      <c r="B40" s="12" t="s">
        <v>83</v>
      </c>
      <c r="D40" s="15"/>
      <c r="F40" s="15" t="s">
        <v>25</v>
      </c>
      <c r="H40" s="13">
        <f t="shared" si="11"/>
        <v>4</v>
      </c>
    </row>
    <row r="41">
      <c r="A41" s="16"/>
      <c r="B41" s="18" t="s">
        <v>30</v>
      </c>
      <c r="C41" s="19"/>
      <c r="D41" s="19"/>
      <c r="E41" s="19"/>
      <c r="F41" s="19"/>
      <c r="G41" s="19"/>
      <c r="H41" s="19"/>
    </row>
    <row r="42">
      <c r="A42" s="11" t="s">
        <v>84</v>
      </c>
      <c r="B42" s="12" t="s">
        <v>85</v>
      </c>
      <c r="D42" s="15"/>
      <c r="G42" s="15" t="s">
        <v>25</v>
      </c>
      <c r="H42" s="13">
        <f>IF(C40="X",1)+IF(D40="X",2)+IF(E40="X",3)+IF(F40="X",4)+IF(G40="X",5)</f>
        <v>4</v>
      </c>
    </row>
    <row r="43">
      <c r="A43" s="14" t="s">
        <v>86</v>
      </c>
      <c r="B43" s="12" t="s">
        <v>87</v>
      </c>
      <c r="F43" s="15" t="s">
        <v>25</v>
      </c>
      <c r="H43" s="13">
        <f t="shared" ref="H43:H44" si="12">IF(C43="X",1)+IF(D43="X",2)+IF(E43="X",3)+IF(F43="X",4)+IF(G43="X",5)</f>
        <v>4</v>
      </c>
    </row>
    <row r="44">
      <c r="A44" s="11" t="s">
        <v>88</v>
      </c>
      <c r="B44" s="12" t="s">
        <v>89</v>
      </c>
      <c r="E44" s="15"/>
      <c r="G44" s="15" t="s">
        <v>25</v>
      </c>
      <c r="H44" s="13">
        <f t="shared" si="12"/>
        <v>5</v>
      </c>
    </row>
    <row r="45">
      <c r="A45" s="16"/>
      <c r="B45" s="8" t="s">
        <v>42</v>
      </c>
      <c r="C45" s="19"/>
      <c r="D45" s="19"/>
      <c r="E45" s="19"/>
      <c r="F45" s="19"/>
      <c r="G45" s="19"/>
    </row>
    <row r="46">
      <c r="A46" s="11" t="s">
        <v>90</v>
      </c>
      <c r="B46" s="12" t="s">
        <v>91</v>
      </c>
      <c r="D46" s="15" t="s">
        <v>25</v>
      </c>
      <c r="H46" s="13">
        <f t="shared" ref="H46:H47" si="13">IF(C46="X",1)+IF(D46="X",2)+IF(E46="X",3)+IF(F46="X",4)+IF(G46="X",5)</f>
        <v>2</v>
      </c>
    </row>
    <row r="47">
      <c r="A47" s="14" t="s">
        <v>90</v>
      </c>
      <c r="B47" s="12" t="s">
        <v>92</v>
      </c>
      <c r="G47" s="15" t="s">
        <v>25</v>
      </c>
      <c r="H47" s="13">
        <f t="shared" si="13"/>
        <v>5</v>
      </c>
    </row>
    <row r="48">
      <c r="B48" s="8" t="s">
        <v>16</v>
      </c>
      <c r="C48" s="8" t="s">
        <v>17</v>
      </c>
      <c r="D48" s="8" t="s">
        <v>18</v>
      </c>
      <c r="E48" s="8" t="s">
        <v>19</v>
      </c>
      <c r="F48" s="8" t="s">
        <v>20</v>
      </c>
      <c r="G48" s="8" t="s">
        <v>21</v>
      </c>
      <c r="H48" s="9" t="s">
        <v>22</v>
      </c>
    </row>
    <row r="49">
      <c r="A49" s="11" t="s">
        <v>93</v>
      </c>
      <c r="B49" s="12" t="s">
        <v>94</v>
      </c>
      <c r="C49" s="15"/>
      <c r="D49" s="15" t="s">
        <v>25</v>
      </c>
      <c r="H49" s="13">
        <f t="shared" ref="H49:H51" si="14">IF(C49="X",1)+IF(D49="X",2)+IF(E49="X",3)+IF(F49="X",4)+IF(G49="X",5)</f>
        <v>2</v>
      </c>
    </row>
    <row r="50">
      <c r="A50" s="14" t="s">
        <v>95</v>
      </c>
      <c r="B50" s="12" t="s">
        <v>96</v>
      </c>
      <c r="D50" s="15"/>
      <c r="E50" s="15" t="s">
        <v>25</v>
      </c>
      <c r="H50" s="13">
        <f t="shared" si="14"/>
        <v>3</v>
      </c>
    </row>
    <row r="51">
      <c r="A51" s="11" t="s">
        <v>97</v>
      </c>
      <c r="B51" s="12" t="s">
        <v>98</v>
      </c>
      <c r="F51" s="15" t="s">
        <v>25</v>
      </c>
      <c r="H51" s="13">
        <f t="shared" si="14"/>
        <v>4</v>
      </c>
    </row>
    <row r="52">
      <c r="A52" s="16"/>
      <c r="B52" s="8" t="s">
        <v>30</v>
      </c>
      <c r="C52" s="19"/>
      <c r="D52" s="19"/>
      <c r="E52" s="19"/>
      <c r="F52" s="19"/>
      <c r="G52" s="19"/>
      <c r="H52" s="19"/>
    </row>
    <row r="53">
      <c r="A53" s="11" t="s">
        <v>99</v>
      </c>
      <c r="B53" s="12" t="s">
        <v>100</v>
      </c>
      <c r="D53" s="15"/>
      <c r="G53" s="15" t="s">
        <v>25</v>
      </c>
      <c r="H53" s="13">
        <f t="shared" ref="H53:H55" si="15">IF(C53="X",1)+IF(D53="X",2)+IF(E53="X",3)+IF(F53="X",4)+IF(G53="X",5)</f>
        <v>5</v>
      </c>
    </row>
    <row r="54">
      <c r="A54" s="14" t="s">
        <v>101</v>
      </c>
      <c r="B54" s="12" t="s">
        <v>102</v>
      </c>
      <c r="D54" s="15"/>
      <c r="E54" s="15" t="s">
        <v>25</v>
      </c>
      <c r="H54" s="13">
        <f t="shared" si="15"/>
        <v>3</v>
      </c>
    </row>
    <row r="55">
      <c r="A55" s="11" t="s">
        <v>103</v>
      </c>
      <c r="B55" s="12" t="s">
        <v>104</v>
      </c>
      <c r="D55" s="15"/>
      <c r="E55" s="15" t="s">
        <v>25</v>
      </c>
      <c r="H55" s="13">
        <f t="shared" si="15"/>
        <v>3</v>
      </c>
    </row>
    <row r="56">
      <c r="A56" s="16"/>
      <c r="B56" s="8" t="s">
        <v>37</v>
      </c>
      <c r="C56" s="19"/>
      <c r="D56" s="19"/>
      <c r="E56" s="19"/>
      <c r="F56" s="19"/>
      <c r="G56" s="19"/>
      <c r="H56" s="19"/>
    </row>
    <row r="57">
      <c r="A57" s="11" t="s">
        <v>105</v>
      </c>
      <c r="B57" s="12" t="s">
        <v>106</v>
      </c>
      <c r="F57" s="15" t="s">
        <v>25</v>
      </c>
      <c r="H57" s="13">
        <f t="shared" ref="H57:H58" si="16">IF(C57="X",1)+IF(D57="X",2)+IF(E57="X",3)+IF(F57="X",4)+IF(G57="X",5)</f>
        <v>4</v>
      </c>
    </row>
    <row r="58">
      <c r="A58" s="14" t="s">
        <v>107</v>
      </c>
      <c r="B58" s="12" t="s">
        <v>108</v>
      </c>
      <c r="E58" s="15" t="s">
        <v>25</v>
      </c>
      <c r="H58" s="13">
        <f t="shared" si="16"/>
        <v>3</v>
      </c>
    </row>
    <row r="59">
      <c r="A59" s="16"/>
      <c r="B59" s="8" t="s">
        <v>42</v>
      </c>
      <c r="C59" s="19"/>
      <c r="D59" s="19"/>
      <c r="E59" s="19"/>
      <c r="F59" s="19"/>
      <c r="G59" s="19"/>
      <c r="H59" s="19"/>
    </row>
    <row r="60">
      <c r="A60" s="11" t="s">
        <v>109</v>
      </c>
      <c r="B60" s="12" t="s">
        <v>110</v>
      </c>
      <c r="G60" s="15" t="s">
        <v>25</v>
      </c>
      <c r="H60" s="13">
        <f t="shared" ref="H60:H61" si="17">IF(C60="X",1)+IF(D60="X",2)+IF(E60="X",3)+IF(F60="X",4)+IF(G60="X",5)</f>
        <v>5</v>
      </c>
    </row>
    <row r="61">
      <c r="A61" s="14" t="s">
        <v>109</v>
      </c>
      <c r="B61" s="12" t="s">
        <v>111</v>
      </c>
      <c r="C61" s="15"/>
      <c r="G61" s="15" t="s">
        <v>25</v>
      </c>
      <c r="H61" s="13">
        <f t="shared" si="17"/>
        <v>5</v>
      </c>
    </row>
    <row r="62">
      <c r="B62" s="8" t="s">
        <v>16</v>
      </c>
      <c r="C62" s="8" t="s">
        <v>17</v>
      </c>
      <c r="D62" s="8" t="s">
        <v>18</v>
      </c>
      <c r="E62" s="8" t="s">
        <v>19</v>
      </c>
      <c r="F62" s="8" t="s">
        <v>20</v>
      </c>
      <c r="G62" s="8" t="s">
        <v>21</v>
      </c>
      <c r="H62" s="9" t="s">
        <v>22</v>
      </c>
    </row>
    <row r="63">
      <c r="A63" s="11" t="s">
        <v>112</v>
      </c>
      <c r="B63" s="12" t="s">
        <v>113</v>
      </c>
      <c r="G63" s="15" t="s">
        <v>25</v>
      </c>
      <c r="H63" s="13">
        <f t="shared" ref="H63:H65" si="18">IF(C63="X",1)+IF(D63="X",2)+IF(E63="X",3)+IF(F63="X",4)+IF(G63="X",5)</f>
        <v>5</v>
      </c>
    </row>
    <row r="64">
      <c r="A64" s="14" t="s">
        <v>114</v>
      </c>
      <c r="B64" s="12" t="s">
        <v>115</v>
      </c>
      <c r="F64" s="15" t="s">
        <v>25</v>
      </c>
      <c r="H64" s="13">
        <f t="shared" si="18"/>
        <v>4</v>
      </c>
    </row>
    <row r="65">
      <c r="A65" s="11" t="s">
        <v>116</v>
      </c>
      <c r="B65" s="12" t="s">
        <v>117</v>
      </c>
      <c r="C65" s="15" t="s">
        <v>25</v>
      </c>
      <c r="H65" s="13">
        <f t="shared" si="18"/>
        <v>1</v>
      </c>
    </row>
    <row r="66">
      <c r="A66" s="16"/>
      <c r="B66" s="8" t="s">
        <v>37</v>
      </c>
      <c r="C66" s="19"/>
      <c r="D66" s="19"/>
      <c r="E66" s="19"/>
      <c r="F66" s="19"/>
      <c r="G66" s="19"/>
      <c r="H66" s="19"/>
    </row>
    <row r="67">
      <c r="A67" s="11" t="s">
        <v>118</v>
      </c>
      <c r="B67" s="12" t="s">
        <v>119</v>
      </c>
      <c r="C67" s="15" t="s">
        <v>25</v>
      </c>
      <c r="H67" s="13">
        <f t="shared" ref="H67:H68" si="19">IF(C67="X",1)+IF(D67="X",2)+IF(E67="X",3)+IF(F67="X",4)+IF(G67="X",5)</f>
        <v>1</v>
      </c>
    </row>
    <row r="68">
      <c r="A68" s="14" t="s">
        <v>120</v>
      </c>
      <c r="B68" s="12" t="s">
        <v>121</v>
      </c>
      <c r="F68" s="15" t="s">
        <v>25</v>
      </c>
      <c r="H68" s="13">
        <f t="shared" si="19"/>
        <v>4</v>
      </c>
    </row>
    <row r="69">
      <c r="A69" s="16"/>
      <c r="B69" s="8" t="s">
        <v>42</v>
      </c>
      <c r="C69" s="19"/>
      <c r="D69" s="19"/>
      <c r="E69" s="19"/>
      <c r="F69" s="19"/>
      <c r="G69" s="19"/>
      <c r="H69" s="19"/>
    </row>
    <row r="70">
      <c r="A70" s="11" t="s">
        <v>122</v>
      </c>
      <c r="B70" s="12" t="s">
        <v>123</v>
      </c>
      <c r="D70" s="15" t="s">
        <v>25</v>
      </c>
      <c r="H70" s="13">
        <f t="shared" ref="H70:H71" si="20">IF(C70="X",1)+IF(D70="X",2)+IF(E70="X",3)+IF(F70="X",4)+IF(G70="X",5)</f>
        <v>2</v>
      </c>
    </row>
    <row r="71">
      <c r="A71" s="14" t="s">
        <v>122</v>
      </c>
      <c r="B71" s="12" t="s">
        <v>124</v>
      </c>
      <c r="G71" s="15" t="s">
        <v>25</v>
      </c>
      <c r="H71" s="13">
        <f t="shared" si="20"/>
        <v>5</v>
      </c>
    </row>
    <row r="72">
      <c r="B72" s="8" t="s">
        <v>16</v>
      </c>
      <c r="C72" s="8" t="s">
        <v>17</v>
      </c>
      <c r="D72" s="8" t="s">
        <v>18</v>
      </c>
      <c r="E72" s="8" t="s">
        <v>19</v>
      </c>
      <c r="F72" s="8" t="s">
        <v>20</v>
      </c>
      <c r="G72" s="8" t="s">
        <v>21</v>
      </c>
      <c r="H72" s="9" t="s">
        <v>22</v>
      </c>
    </row>
    <row r="73">
      <c r="A73" s="11" t="s">
        <v>125</v>
      </c>
      <c r="B73" s="12" t="s">
        <v>126</v>
      </c>
      <c r="C73" s="15" t="s">
        <v>25</v>
      </c>
      <c r="G73" s="15" t="s">
        <v>25</v>
      </c>
      <c r="H73" s="13">
        <f t="shared" ref="H73:H75" si="21">IF(C73="X",1)+IF(D73="X",2)+IF(E73="X",3)+IF(F73="X",4)+IF(G73="X",5)</f>
        <v>6</v>
      </c>
    </row>
    <row r="74">
      <c r="A74" s="14" t="s">
        <v>127</v>
      </c>
      <c r="B74" s="12" t="s">
        <v>128</v>
      </c>
      <c r="E74" s="15" t="s">
        <v>25</v>
      </c>
      <c r="H74" s="13">
        <f t="shared" si="21"/>
        <v>3</v>
      </c>
    </row>
    <row r="75">
      <c r="A75" s="11" t="s">
        <v>129</v>
      </c>
      <c r="B75" s="12" t="s">
        <v>130</v>
      </c>
      <c r="F75" s="15" t="s">
        <v>25</v>
      </c>
      <c r="H75" s="13">
        <f t="shared" si="21"/>
        <v>4</v>
      </c>
    </row>
    <row r="76">
      <c r="A76" s="16"/>
      <c r="B76" s="8" t="s">
        <v>30</v>
      </c>
      <c r="C76" s="19"/>
      <c r="D76" s="19"/>
      <c r="E76" s="19"/>
      <c r="F76" s="19"/>
      <c r="G76" s="19"/>
      <c r="H76" s="19"/>
    </row>
    <row r="77">
      <c r="A77" s="11" t="s">
        <v>131</v>
      </c>
      <c r="B77" s="12" t="s">
        <v>132</v>
      </c>
      <c r="G77" s="15" t="s">
        <v>25</v>
      </c>
      <c r="H77" s="13">
        <f t="shared" ref="H77:H79" si="22">IF(C77="X",1)+IF(D77="X",2)+IF(E77="X",3)+IF(F77="X",4)+IF(G77="X",5)</f>
        <v>5</v>
      </c>
    </row>
    <row r="78">
      <c r="A78" s="14" t="s">
        <v>131</v>
      </c>
      <c r="B78" s="12" t="s">
        <v>133</v>
      </c>
      <c r="E78" s="15" t="s">
        <v>25</v>
      </c>
      <c r="H78" s="13">
        <f t="shared" si="22"/>
        <v>3</v>
      </c>
    </row>
    <row r="79">
      <c r="A79" s="11" t="s">
        <v>134</v>
      </c>
      <c r="B79" s="12" t="s">
        <v>135</v>
      </c>
      <c r="F79" s="15" t="s">
        <v>25</v>
      </c>
      <c r="H79" s="13">
        <f t="shared" si="22"/>
        <v>4</v>
      </c>
    </row>
    <row r="80">
      <c r="A80" s="16"/>
      <c r="B80" s="8" t="s">
        <v>37</v>
      </c>
      <c r="C80" s="19"/>
      <c r="D80" s="19"/>
      <c r="E80" s="19"/>
      <c r="F80" s="19"/>
      <c r="G80" s="19"/>
      <c r="H80" s="19"/>
    </row>
    <row r="81">
      <c r="A81" s="11" t="s">
        <v>136</v>
      </c>
      <c r="B81" s="12" t="s">
        <v>137</v>
      </c>
      <c r="D81" s="15" t="s">
        <v>25</v>
      </c>
      <c r="H81" s="13">
        <f t="shared" ref="H81:H82" si="23">IF(C81="X",1)+IF(D81="X",2)+IF(E81="X",3)+IF(F81="X",4)+IF(G81="X",5)</f>
        <v>2</v>
      </c>
    </row>
    <row r="82">
      <c r="A82" s="14" t="s">
        <v>138</v>
      </c>
      <c r="B82" s="12" t="s">
        <v>139</v>
      </c>
      <c r="G82" s="15" t="s">
        <v>25</v>
      </c>
      <c r="H82" s="13">
        <f t="shared" si="23"/>
        <v>5</v>
      </c>
    </row>
    <row r="83">
      <c r="A83" s="16"/>
      <c r="B83" s="8" t="s">
        <v>42</v>
      </c>
      <c r="C83" s="19"/>
      <c r="D83" s="19"/>
      <c r="E83" s="19"/>
      <c r="F83" s="19"/>
      <c r="G83" s="19"/>
      <c r="H83" s="19"/>
    </row>
    <row r="84">
      <c r="A84" s="11" t="s">
        <v>140</v>
      </c>
      <c r="B84" s="12" t="s">
        <v>141</v>
      </c>
      <c r="G84" s="15" t="s">
        <v>25</v>
      </c>
      <c r="H84" s="13">
        <f t="shared" ref="H84:H85" si="24">IF(C84="X",1)+IF(D84="X",2)+IF(E84="X",3)+IF(F84="X",4)+IF(G84="X",5)</f>
        <v>5</v>
      </c>
    </row>
    <row r="85">
      <c r="A85" s="14" t="s">
        <v>140</v>
      </c>
      <c r="B85" s="12" t="s">
        <v>142</v>
      </c>
      <c r="E85" s="15" t="s">
        <v>25</v>
      </c>
      <c r="H85" s="13">
        <f t="shared" si="24"/>
        <v>3</v>
      </c>
    </row>
    <row r="86">
      <c r="A86" s="20"/>
      <c r="B86" s="21" t="s">
        <v>16</v>
      </c>
      <c r="C86" s="8" t="s">
        <v>17</v>
      </c>
      <c r="D86" s="8" t="s">
        <v>18</v>
      </c>
      <c r="E86" s="8" t="s">
        <v>19</v>
      </c>
      <c r="F86" s="8" t="s">
        <v>20</v>
      </c>
      <c r="G86" s="8" t="s">
        <v>21</v>
      </c>
      <c r="H86" s="9" t="s">
        <v>22</v>
      </c>
    </row>
    <row r="87">
      <c r="A87" s="22" t="s">
        <v>143</v>
      </c>
      <c r="B87" s="23" t="s">
        <v>144</v>
      </c>
      <c r="G87" s="15" t="s">
        <v>25</v>
      </c>
      <c r="H87" s="13">
        <f t="shared" ref="H87:H89" si="25">IF(C87="X",1)+IF(D87="X",2)+IF(E87="X",3)+IF(F87="X",4)+IF(G87="X",5)</f>
        <v>5</v>
      </c>
    </row>
    <row r="88">
      <c r="A88" s="24" t="s">
        <v>145</v>
      </c>
      <c r="B88" s="23" t="s">
        <v>146</v>
      </c>
      <c r="C88" s="15"/>
      <c r="E88" s="15" t="s">
        <v>25</v>
      </c>
      <c r="H88" s="13">
        <f t="shared" si="25"/>
        <v>3</v>
      </c>
    </row>
    <row r="89">
      <c r="A89" s="22" t="s">
        <v>147</v>
      </c>
      <c r="B89" s="23" t="s">
        <v>148</v>
      </c>
      <c r="E89" s="15" t="s">
        <v>25</v>
      </c>
      <c r="H89" s="13">
        <f t="shared" si="25"/>
        <v>3</v>
      </c>
    </row>
    <row r="90">
      <c r="A90" s="25"/>
      <c r="B90" s="21" t="s">
        <v>37</v>
      </c>
      <c r="C90" s="19"/>
      <c r="D90" s="19"/>
      <c r="E90" s="19"/>
      <c r="F90" s="19"/>
      <c r="G90" s="19"/>
      <c r="H90" s="19"/>
    </row>
    <row r="91">
      <c r="A91" s="22" t="s">
        <v>149</v>
      </c>
      <c r="B91" s="23" t="s">
        <v>150</v>
      </c>
      <c r="C91" s="15"/>
      <c r="F91" s="15" t="s">
        <v>25</v>
      </c>
      <c r="H91" s="13">
        <f t="shared" ref="H91:H92" si="26">IF(C91="X",1)+IF(D91="X",2)+IF(E91="X",3)+IF(F91="X",4)+IF(G91="X",5)</f>
        <v>4</v>
      </c>
    </row>
    <row r="92">
      <c r="A92" s="24" t="s">
        <v>151</v>
      </c>
      <c r="B92" s="23" t="s">
        <v>152</v>
      </c>
      <c r="E92" s="15" t="s">
        <v>25</v>
      </c>
      <c r="H92" s="13">
        <f t="shared" si="26"/>
        <v>3</v>
      </c>
    </row>
    <row r="93">
      <c r="A93" s="25"/>
      <c r="B93" s="21" t="s">
        <v>42</v>
      </c>
    </row>
    <row r="94">
      <c r="A94" s="22" t="s">
        <v>153</v>
      </c>
      <c r="B94" s="23" t="s">
        <v>154</v>
      </c>
      <c r="G94" s="15" t="s">
        <v>25</v>
      </c>
      <c r="H94" s="13">
        <f t="shared" ref="H94:H95" si="27">IF(C94="X",1)+IF(D94="X",2)+IF(E94="X",3)+IF(F94="X",4)+IF(G94="X",5)</f>
        <v>5</v>
      </c>
    </row>
    <row r="95">
      <c r="A95" s="24" t="s">
        <v>155</v>
      </c>
      <c r="B95" s="23" t="s">
        <v>156</v>
      </c>
      <c r="F95" s="15" t="s">
        <v>25</v>
      </c>
      <c r="H95" s="13">
        <f t="shared" si="27"/>
        <v>4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78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6" width="8.67"/>
  </cols>
  <sheetData>
    <row r="1">
      <c r="A1" s="20"/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27" t="s">
        <v>22</v>
      </c>
      <c r="I1" s="10"/>
    </row>
    <row r="2">
      <c r="A2" s="26" t="s">
        <v>23</v>
      </c>
      <c r="B2" s="28" t="s">
        <v>24</v>
      </c>
      <c r="C2" s="20"/>
      <c r="D2" s="20"/>
      <c r="E2" s="20"/>
      <c r="F2" s="29" t="s">
        <v>25</v>
      </c>
      <c r="G2" s="20"/>
      <c r="H2" s="30">
        <f t="shared" ref="H2:H4" si="1">IF(C2="X",1)+IF(D2="X",2)+IF(E2="X",3)+IF(F2="X",4)+IF(G2="X",5)</f>
        <v>4</v>
      </c>
    </row>
    <row r="3">
      <c r="A3" s="31" t="s">
        <v>26</v>
      </c>
      <c r="B3" s="28" t="s">
        <v>27</v>
      </c>
      <c r="C3" s="20"/>
      <c r="D3" s="20"/>
      <c r="E3" s="29" t="s">
        <v>25</v>
      </c>
      <c r="F3" s="20"/>
      <c r="G3" s="20"/>
      <c r="H3" s="30">
        <f t="shared" si="1"/>
        <v>3</v>
      </c>
    </row>
    <row r="4">
      <c r="A4" s="26" t="s">
        <v>28</v>
      </c>
      <c r="B4" s="28" t="s">
        <v>29</v>
      </c>
      <c r="C4" s="20"/>
      <c r="D4" s="20"/>
      <c r="E4" s="20"/>
      <c r="F4" s="20"/>
      <c r="G4" s="29" t="s">
        <v>25</v>
      </c>
      <c r="H4" s="30">
        <f t="shared" si="1"/>
        <v>5</v>
      </c>
    </row>
    <row r="5">
      <c r="A5" s="32"/>
      <c r="B5" s="26" t="s">
        <v>30</v>
      </c>
      <c r="C5" s="20"/>
      <c r="D5" s="20"/>
      <c r="E5" s="20"/>
      <c r="F5" s="20"/>
      <c r="G5" s="20"/>
      <c r="H5" s="30"/>
    </row>
    <row r="6">
      <c r="A6" s="26" t="s">
        <v>31</v>
      </c>
      <c r="B6" s="28" t="s">
        <v>32</v>
      </c>
      <c r="C6" s="20"/>
      <c r="D6" s="29" t="s">
        <v>25</v>
      </c>
      <c r="E6" s="20"/>
      <c r="F6" s="20"/>
      <c r="G6" s="20"/>
      <c r="H6" s="30">
        <f t="shared" ref="H6:H8" si="2">IF(C6="X",1)+IF(D6="X",2)+IF(E6="X",3)+IF(F6="X",4)+IF(G6="X",5)</f>
        <v>2</v>
      </c>
    </row>
    <row r="7">
      <c r="A7" s="31" t="s">
        <v>33</v>
      </c>
      <c r="B7" s="28" t="s">
        <v>34</v>
      </c>
      <c r="C7" s="20"/>
      <c r="D7" s="29" t="s">
        <v>25</v>
      </c>
      <c r="E7" s="20"/>
      <c r="F7" s="20"/>
      <c r="G7" s="20"/>
      <c r="H7" s="30">
        <f t="shared" si="2"/>
        <v>2</v>
      </c>
    </row>
    <row r="8">
      <c r="A8" s="26" t="s">
        <v>35</v>
      </c>
      <c r="B8" s="28" t="s">
        <v>36</v>
      </c>
      <c r="C8" s="20"/>
      <c r="D8" s="20"/>
      <c r="E8" s="29" t="s">
        <v>25</v>
      </c>
      <c r="F8" s="20"/>
      <c r="G8" s="20"/>
      <c r="H8" s="30">
        <f t="shared" si="2"/>
        <v>3</v>
      </c>
    </row>
    <row r="9">
      <c r="A9" s="32"/>
      <c r="B9" s="26" t="s">
        <v>37</v>
      </c>
      <c r="C9" s="20"/>
      <c r="D9" s="20"/>
      <c r="E9" s="20"/>
      <c r="F9" s="20"/>
      <c r="G9" s="20"/>
      <c r="H9" s="30"/>
    </row>
    <row r="10">
      <c r="A10" s="26" t="s">
        <v>38</v>
      </c>
      <c r="B10" s="28" t="s">
        <v>39</v>
      </c>
      <c r="C10" s="20"/>
      <c r="D10" s="20"/>
      <c r="E10" s="29" t="s">
        <v>25</v>
      </c>
      <c r="F10" s="20"/>
      <c r="G10" s="20"/>
      <c r="H10" s="30">
        <f t="shared" ref="H10:H11" si="3">IF(C10="X",1)+IF(D10="X",2)+IF(E10="X",3)+IF(F10="X",4)+IF(G10="X",5)</f>
        <v>3</v>
      </c>
    </row>
    <row r="11">
      <c r="A11" s="31" t="s">
        <v>40</v>
      </c>
      <c r="B11" s="28" t="s">
        <v>41</v>
      </c>
      <c r="C11" s="20"/>
      <c r="D11" s="20"/>
      <c r="E11" s="20"/>
      <c r="F11" s="20"/>
      <c r="G11" s="29" t="s">
        <v>25</v>
      </c>
      <c r="H11" s="30">
        <f t="shared" si="3"/>
        <v>5</v>
      </c>
    </row>
    <row r="12">
      <c r="A12" s="32"/>
      <c r="B12" s="26" t="s">
        <v>42</v>
      </c>
      <c r="C12" s="20"/>
      <c r="D12" s="20"/>
      <c r="E12" s="20"/>
      <c r="F12" s="20"/>
      <c r="G12" s="20"/>
      <c r="H12" s="30"/>
    </row>
    <row r="13">
      <c r="A13" s="26" t="s">
        <v>43</v>
      </c>
      <c r="B13" s="28" t="s">
        <v>44</v>
      </c>
      <c r="C13" s="20"/>
      <c r="D13" s="20"/>
      <c r="E13" s="29" t="s">
        <v>25</v>
      </c>
      <c r="F13" s="20"/>
      <c r="G13" s="20"/>
      <c r="H13" s="30">
        <f t="shared" ref="H13:H14" si="4">IF(C13="X",1)+IF(D13="X",2)+IF(E13="X",3)+IF(F13="X",4)+IF(G13="X",5)</f>
        <v>3</v>
      </c>
    </row>
    <row r="14">
      <c r="A14" s="31" t="s">
        <v>43</v>
      </c>
      <c r="B14" s="28" t="s">
        <v>45</v>
      </c>
      <c r="C14" s="20"/>
      <c r="D14" s="29" t="s">
        <v>25</v>
      </c>
      <c r="E14" s="20"/>
      <c r="F14" s="20"/>
      <c r="G14" s="20"/>
      <c r="H14" s="30">
        <f t="shared" si="4"/>
        <v>2</v>
      </c>
    </row>
    <row r="15">
      <c r="A15" s="33"/>
      <c r="B15" s="26" t="s">
        <v>16</v>
      </c>
      <c r="C15" s="20"/>
      <c r="D15" s="20"/>
      <c r="E15" s="20"/>
      <c r="F15" s="20"/>
      <c r="G15" s="20"/>
      <c r="H15" s="30"/>
    </row>
    <row r="16">
      <c r="A16" s="26" t="s">
        <v>46</v>
      </c>
      <c r="B16" s="28" t="s">
        <v>47</v>
      </c>
      <c r="C16" s="20"/>
      <c r="D16" s="20"/>
      <c r="E16" s="20"/>
      <c r="F16" s="20"/>
      <c r="G16" s="29" t="s">
        <v>25</v>
      </c>
      <c r="H16" s="30">
        <f t="shared" ref="H16:H18" si="5">IF(C16="X",1)+IF(D16="X",2)+IF(E16="X",3)+IF(F16="X",4)+IF(G16="X",5)</f>
        <v>5</v>
      </c>
    </row>
    <row r="17">
      <c r="A17" s="31" t="s">
        <v>48</v>
      </c>
      <c r="B17" s="28" t="s">
        <v>49</v>
      </c>
      <c r="C17" s="20"/>
      <c r="D17" s="29" t="s">
        <v>25</v>
      </c>
      <c r="E17" s="20"/>
      <c r="F17" s="20"/>
      <c r="G17" s="20"/>
      <c r="H17" s="30">
        <f t="shared" si="5"/>
        <v>2</v>
      </c>
      <c r="I17" s="17"/>
    </row>
    <row r="18">
      <c r="A18" s="26" t="s">
        <v>50</v>
      </c>
      <c r="B18" s="28" t="s">
        <v>51</v>
      </c>
      <c r="C18" s="20"/>
      <c r="D18" s="20"/>
      <c r="E18" s="20"/>
      <c r="F18" s="29" t="s">
        <v>25</v>
      </c>
      <c r="G18" s="20"/>
      <c r="H18" s="30">
        <f t="shared" si="5"/>
        <v>4</v>
      </c>
    </row>
    <row r="19">
      <c r="A19" s="32"/>
      <c r="B19" s="26" t="s">
        <v>30</v>
      </c>
      <c r="C19" s="20"/>
      <c r="D19" s="20"/>
      <c r="E19" s="20"/>
      <c r="F19" s="20"/>
      <c r="G19" s="20"/>
      <c r="H19" s="30"/>
    </row>
    <row r="20">
      <c r="A20" s="26" t="s">
        <v>52</v>
      </c>
      <c r="B20" s="28" t="s">
        <v>53</v>
      </c>
      <c r="C20" s="20"/>
      <c r="D20" s="29" t="s">
        <v>25</v>
      </c>
      <c r="E20" s="20"/>
      <c r="F20" s="20"/>
      <c r="G20" s="20"/>
      <c r="H20" s="30">
        <f t="shared" ref="H20:H22" si="6">IF(C20="X",1)+IF(D20="X",2)+IF(E20="X",3)+IF(F20="X",4)+IF(G20="X",5)</f>
        <v>2</v>
      </c>
    </row>
    <row r="21">
      <c r="A21" s="31" t="s">
        <v>54</v>
      </c>
      <c r="B21" s="28" t="s">
        <v>55</v>
      </c>
      <c r="C21" s="20"/>
      <c r="D21" s="20"/>
      <c r="E21" s="20"/>
      <c r="F21" s="20"/>
      <c r="G21" s="29" t="s">
        <v>25</v>
      </c>
      <c r="H21" s="30">
        <f t="shared" si="6"/>
        <v>5</v>
      </c>
    </row>
    <row r="22">
      <c r="A22" s="26" t="s">
        <v>56</v>
      </c>
      <c r="B22" s="28" t="s">
        <v>57</v>
      </c>
      <c r="C22" s="20"/>
      <c r="D22" s="20"/>
      <c r="E22" s="20"/>
      <c r="F22" s="20"/>
      <c r="G22" s="29" t="s">
        <v>25</v>
      </c>
      <c r="H22" s="30">
        <f t="shared" si="6"/>
        <v>5</v>
      </c>
    </row>
    <row r="23">
      <c r="A23" s="32"/>
      <c r="B23" s="26" t="s">
        <v>37</v>
      </c>
      <c r="C23" s="20"/>
      <c r="D23" s="20"/>
      <c r="E23" s="20"/>
      <c r="F23" s="20"/>
      <c r="G23" s="20"/>
      <c r="H23" s="30"/>
    </row>
    <row r="24">
      <c r="A24" s="26" t="s">
        <v>58</v>
      </c>
      <c r="B24" s="28" t="s">
        <v>59</v>
      </c>
      <c r="C24" s="20"/>
      <c r="D24" s="20"/>
      <c r="E24" s="29" t="s">
        <v>25</v>
      </c>
      <c r="F24" s="20"/>
      <c r="G24" s="20"/>
      <c r="H24" s="30">
        <f t="shared" ref="H24:H25" si="7">IF(C24="X",1)+IF(D24="X",2)+IF(E24="X",3)+IF(F24="X",4)+IF(G24="X",5)</f>
        <v>3</v>
      </c>
    </row>
    <row r="25">
      <c r="A25" s="31" t="s">
        <v>60</v>
      </c>
      <c r="B25" s="28" t="s">
        <v>61</v>
      </c>
      <c r="C25" s="20"/>
      <c r="D25" s="20"/>
      <c r="E25" s="29" t="s">
        <v>25</v>
      </c>
      <c r="F25" s="20"/>
      <c r="G25" s="20"/>
      <c r="H25" s="30">
        <f t="shared" si="7"/>
        <v>3</v>
      </c>
    </row>
    <row r="26">
      <c r="A26" s="34"/>
      <c r="B26" s="26" t="s">
        <v>16</v>
      </c>
      <c r="C26" s="21" t="s">
        <v>17</v>
      </c>
      <c r="D26" s="21" t="s">
        <v>18</v>
      </c>
      <c r="E26" s="21" t="s">
        <v>19</v>
      </c>
      <c r="F26" s="21" t="s">
        <v>20</v>
      </c>
      <c r="G26" s="21" t="s">
        <v>21</v>
      </c>
      <c r="H26" s="27" t="s">
        <v>22</v>
      </c>
    </row>
    <row r="27">
      <c r="A27" s="26" t="s">
        <v>62</v>
      </c>
      <c r="B27" s="28" t="s">
        <v>63</v>
      </c>
      <c r="C27" s="29" t="s">
        <v>25</v>
      </c>
      <c r="D27" s="20"/>
      <c r="E27" s="20"/>
      <c r="F27" s="20"/>
      <c r="G27" s="20"/>
      <c r="H27" s="30">
        <f t="shared" ref="H27:H29" si="8">IF(C27="X",1)+IF(D27="X",2)+IF(E27="X",3)+IF(F27="X",4)+IF(G27="X",5)</f>
        <v>1</v>
      </c>
    </row>
    <row r="28">
      <c r="A28" s="31" t="s">
        <v>64</v>
      </c>
      <c r="B28" s="28" t="s">
        <v>65</v>
      </c>
      <c r="C28" s="20"/>
      <c r="D28" s="29" t="s">
        <v>25</v>
      </c>
      <c r="E28" s="20"/>
      <c r="F28" s="20"/>
      <c r="G28" s="20"/>
      <c r="H28" s="30">
        <f t="shared" si="8"/>
        <v>2</v>
      </c>
    </row>
    <row r="29">
      <c r="A29" s="26" t="s">
        <v>67</v>
      </c>
      <c r="B29" s="28" t="s">
        <v>68</v>
      </c>
      <c r="C29" s="20"/>
      <c r="D29" s="20"/>
      <c r="E29" s="29" t="s">
        <v>25</v>
      </c>
      <c r="F29" s="20"/>
      <c r="G29" s="20"/>
      <c r="H29" s="30">
        <f t="shared" si="8"/>
        <v>3</v>
      </c>
    </row>
    <row r="30">
      <c r="A30" s="32"/>
      <c r="B30" s="26" t="s">
        <v>30</v>
      </c>
      <c r="C30" s="20"/>
      <c r="D30" s="20"/>
      <c r="E30" s="20"/>
      <c r="F30" s="20"/>
      <c r="G30" s="20"/>
      <c r="H30" s="30"/>
    </row>
    <row r="31">
      <c r="A31" s="26" t="s">
        <v>69</v>
      </c>
      <c r="B31" s="28" t="s">
        <v>70</v>
      </c>
      <c r="C31" s="20"/>
      <c r="D31" s="29" t="s">
        <v>25</v>
      </c>
      <c r="E31" s="20"/>
      <c r="F31" s="20"/>
      <c r="G31" s="20"/>
      <c r="H31" s="30">
        <f t="shared" ref="H31:H33" si="9">IF(C31="X",1)+IF(D31="X",2)+IF(E31="X",3)+IF(F31="X",4)+IF(G31="X",5)</f>
        <v>2</v>
      </c>
    </row>
    <row r="32">
      <c r="A32" s="31" t="s">
        <v>71</v>
      </c>
      <c r="B32" s="28" t="s">
        <v>72</v>
      </c>
      <c r="C32" s="20"/>
      <c r="D32" s="29" t="s">
        <v>25</v>
      </c>
      <c r="E32" s="20"/>
      <c r="F32" s="20"/>
      <c r="G32" s="20"/>
      <c r="H32" s="30">
        <f t="shared" si="9"/>
        <v>2</v>
      </c>
      <c r="I32" s="17"/>
    </row>
    <row r="33">
      <c r="A33" s="26" t="s">
        <v>73</v>
      </c>
      <c r="B33" s="28" t="s">
        <v>74</v>
      </c>
      <c r="C33" s="20"/>
      <c r="D33" s="20"/>
      <c r="E33" s="29" t="s">
        <v>25</v>
      </c>
      <c r="F33" s="20"/>
      <c r="G33" s="20"/>
      <c r="H33" s="30">
        <f t="shared" si="9"/>
        <v>3</v>
      </c>
    </row>
    <row r="34">
      <c r="A34" s="35"/>
      <c r="B34" s="26" t="s">
        <v>42</v>
      </c>
      <c r="C34" s="20"/>
      <c r="D34" s="29"/>
      <c r="E34" s="20"/>
      <c r="F34" s="20"/>
      <c r="G34" s="20"/>
      <c r="H34" s="30"/>
    </row>
    <row r="35">
      <c r="A35" s="36" t="s">
        <v>75</v>
      </c>
      <c r="B35" s="28" t="s">
        <v>76</v>
      </c>
      <c r="C35" s="20"/>
      <c r="D35" s="20"/>
      <c r="E35" s="20"/>
      <c r="F35" s="20"/>
      <c r="G35" s="29" t="s">
        <v>25</v>
      </c>
      <c r="H35" s="30">
        <f t="shared" ref="H35:H36" si="10">IF(C35="X",1)+IF(D35="X",2)+IF(E35="X",3)+IF(F35="X",4)+IF(G35="X",5)</f>
        <v>5</v>
      </c>
    </row>
    <row r="36">
      <c r="A36" s="31" t="s">
        <v>75</v>
      </c>
      <c r="B36" s="28" t="s">
        <v>77</v>
      </c>
      <c r="C36" s="20"/>
      <c r="D36" s="20"/>
      <c r="E36" s="29" t="s">
        <v>25</v>
      </c>
      <c r="F36" s="20"/>
      <c r="G36" s="20"/>
      <c r="H36" s="30">
        <f t="shared" si="10"/>
        <v>3</v>
      </c>
    </row>
    <row r="37">
      <c r="A37" s="34"/>
      <c r="B37" s="26" t="s">
        <v>16</v>
      </c>
      <c r="C37" s="21" t="s">
        <v>17</v>
      </c>
      <c r="D37" s="21" t="s">
        <v>18</v>
      </c>
      <c r="E37" s="21" t="s">
        <v>19</v>
      </c>
      <c r="F37" s="21" t="s">
        <v>20</v>
      </c>
      <c r="G37" s="21" t="s">
        <v>21</v>
      </c>
      <c r="H37" s="27" t="s">
        <v>22</v>
      </c>
    </row>
    <row r="38">
      <c r="A38" s="26" t="s">
        <v>78</v>
      </c>
      <c r="B38" s="28" t="s">
        <v>79</v>
      </c>
      <c r="C38" s="29"/>
      <c r="D38" s="20"/>
      <c r="E38" s="20"/>
      <c r="F38" s="20"/>
      <c r="G38" s="29" t="s">
        <v>25</v>
      </c>
      <c r="H38" s="30">
        <f t="shared" ref="H38:H40" si="11">IF(C38="X",1)+IF(D38="X",2)+IF(E38="X",3)+IF(F38="X",4)+IF(G38="X",5)</f>
        <v>5</v>
      </c>
    </row>
    <row r="39">
      <c r="A39" s="37" t="s">
        <v>80</v>
      </c>
      <c r="B39" s="38" t="s">
        <v>81</v>
      </c>
      <c r="C39" s="20"/>
      <c r="D39" s="20"/>
      <c r="E39" s="20"/>
      <c r="F39" s="29" t="s">
        <v>25</v>
      </c>
      <c r="G39" s="20"/>
      <c r="H39" s="30">
        <f t="shared" si="11"/>
        <v>4</v>
      </c>
    </row>
    <row r="40">
      <c r="A40" s="36" t="s">
        <v>82</v>
      </c>
      <c r="B40" s="28" t="s">
        <v>83</v>
      </c>
      <c r="C40" s="20"/>
      <c r="D40" s="20"/>
      <c r="E40" s="20"/>
      <c r="F40" s="20"/>
      <c r="G40" s="29" t="s">
        <v>25</v>
      </c>
      <c r="H40" s="30">
        <f t="shared" si="11"/>
        <v>5</v>
      </c>
    </row>
    <row r="41">
      <c r="A41" s="35"/>
      <c r="B41" s="39" t="s">
        <v>30</v>
      </c>
      <c r="C41" s="40"/>
      <c r="D41" s="40"/>
      <c r="E41" s="40"/>
      <c r="F41" s="40"/>
      <c r="G41" s="40"/>
      <c r="H41" s="30"/>
    </row>
    <row r="42">
      <c r="A42" s="26" t="s">
        <v>84</v>
      </c>
      <c r="B42" s="28" t="s">
        <v>85</v>
      </c>
      <c r="C42" s="20"/>
      <c r="D42" s="20"/>
      <c r="E42" s="29" t="s">
        <v>25</v>
      </c>
      <c r="F42" s="20"/>
      <c r="G42" s="20"/>
      <c r="H42" s="30">
        <f t="shared" ref="H42:H44" si="12">IF(C42="X",1)+IF(D42="X",2)+IF(E42="X",3)+IF(F42="X",4)+IF(G42="X",5)</f>
        <v>3</v>
      </c>
    </row>
    <row r="43">
      <c r="A43" s="31" t="s">
        <v>86</v>
      </c>
      <c r="B43" s="28" t="s">
        <v>87</v>
      </c>
      <c r="C43" s="29" t="s">
        <v>25</v>
      </c>
      <c r="D43" s="20"/>
      <c r="E43" s="20"/>
      <c r="F43" s="20"/>
      <c r="G43" s="20"/>
      <c r="H43" s="30">
        <f t="shared" si="12"/>
        <v>1</v>
      </c>
    </row>
    <row r="44">
      <c r="A44" s="36" t="s">
        <v>88</v>
      </c>
      <c r="B44" s="28" t="s">
        <v>89</v>
      </c>
      <c r="C44" s="29" t="s">
        <v>25</v>
      </c>
      <c r="D44" s="20"/>
      <c r="E44" s="20"/>
      <c r="F44" s="20"/>
      <c r="G44" s="20"/>
      <c r="H44" s="30">
        <f t="shared" si="12"/>
        <v>1</v>
      </c>
    </row>
    <row r="45">
      <c r="A45" s="35"/>
      <c r="B45" s="26" t="s">
        <v>42</v>
      </c>
      <c r="C45" s="40"/>
      <c r="D45" s="40"/>
      <c r="E45" s="40"/>
      <c r="F45" s="40"/>
      <c r="G45" s="40"/>
      <c r="H45" s="30"/>
      <c r="I45" s="17"/>
    </row>
    <row r="46">
      <c r="A46" s="36" t="s">
        <v>90</v>
      </c>
      <c r="B46" s="38" t="s">
        <v>91</v>
      </c>
      <c r="C46" s="20"/>
      <c r="D46" s="20"/>
      <c r="E46" s="20"/>
      <c r="F46" s="29"/>
      <c r="G46" s="29" t="s">
        <v>25</v>
      </c>
      <c r="H46" s="30">
        <f t="shared" ref="H46:H47" si="13">IF(C46="X",1)+IF(D46="X",2)+IF(E46="X",3)+IF(F46="X",4)+IF(G46="X",5)</f>
        <v>5</v>
      </c>
    </row>
    <row r="47">
      <c r="A47" s="41" t="s">
        <v>90</v>
      </c>
      <c r="B47" s="42" t="s">
        <v>92</v>
      </c>
      <c r="C47" s="20"/>
      <c r="D47" s="20"/>
      <c r="E47" s="20"/>
      <c r="F47" s="29" t="s">
        <v>25</v>
      </c>
      <c r="G47" s="20"/>
      <c r="H47" s="30">
        <f t="shared" si="13"/>
        <v>4</v>
      </c>
    </row>
    <row r="48">
      <c r="A48" s="20"/>
      <c r="B48" s="21" t="s">
        <v>16</v>
      </c>
      <c r="C48" s="21" t="s">
        <v>17</v>
      </c>
      <c r="D48" s="21" t="s">
        <v>18</v>
      </c>
      <c r="E48" s="21" t="s">
        <v>19</v>
      </c>
      <c r="F48" s="21" t="s">
        <v>20</v>
      </c>
      <c r="G48" s="21" t="s">
        <v>21</v>
      </c>
      <c r="H48" s="27" t="s">
        <v>22</v>
      </c>
    </row>
    <row r="49">
      <c r="A49" s="21" t="s">
        <v>93</v>
      </c>
      <c r="B49" s="42" t="s">
        <v>94</v>
      </c>
      <c r="C49" s="20"/>
      <c r="D49" s="20"/>
      <c r="E49" s="20"/>
      <c r="F49" s="20"/>
      <c r="G49" s="29" t="s">
        <v>25</v>
      </c>
      <c r="H49" s="30">
        <f t="shared" ref="H49:H51" si="14">IF(C49="X",1)+IF(D49="X",2)+IF(E49="X",3)+IF(F49="X",4)+IF(G49="X",5)</f>
        <v>5</v>
      </c>
    </row>
    <row r="50">
      <c r="A50" s="41" t="s">
        <v>95</v>
      </c>
      <c r="B50" s="42" t="s">
        <v>96</v>
      </c>
      <c r="C50" s="20"/>
      <c r="D50" s="20"/>
      <c r="E50" s="20"/>
      <c r="F50" s="20"/>
      <c r="G50" s="29" t="s">
        <v>25</v>
      </c>
      <c r="H50" s="30">
        <f t="shared" si="14"/>
        <v>5</v>
      </c>
    </row>
    <row r="51">
      <c r="A51" s="21" t="s">
        <v>97</v>
      </c>
      <c r="B51" s="42" t="s">
        <v>98</v>
      </c>
      <c r="C51" s="20"/>
      <c r="D51" s="29" t="s">
        <v>25</v>
      </c>
      <c r="E51" s="20"/>
      <c r="F51" s="20"/>
      <c r="G51" s="20"/>
      <c r="H51" s="30">
        <f t="shared" si="14"/>
        <v>2</v>
      </c>
    </row>
    <row r="52">
      <c r="A52" s="32"/>
      <c r="B52" s="21" t="s">
        <v>30</v>
      </c>
      <c r="C52" s="40"/>
      <c r="D52" s="40"/>
      <c r="E52" s="40"/>
      <c r="F52" s="40"/>
      <c r="G52" s="40"/>
      <c r="H52" s="30"/>
    </row>
    <row r="53">
      <c r="A53" s="21" t="s">
        <v>99</v>
      </c>
      <c r="B53" s="42" t="s">
        <v>100</v>
      </c>
      <c r="C53" s="20"/>
      <c r="D53" s="29" t="s">
        <v>25</v>
      </c>
      <c r="E53" s="20"/>
      <c r="F53" s="20"/>
      <c r="G53" s="20"/>
      <c r="H53" s="30">
        <f t="shared" ref="H53:H55" si="15">IF(C53="X",1)+IF(D53="X",2)+IF(E53="X",3)+IF(F53="X",4)+IF(G53="X",5)</f>
        <v>2</v>
      </c>
    </row>
    <row r="54">
      <c r="A54" s="41" t="s">
        <v>101</v>
      </c>
      <c r="B54" s="42" t="s">
        <v>102</v>
      </c>
      <c r="C54" s="29" t="s">
        <v>25</v>
      </c>
      <c r="D54" s="20"/>
      <c r="E54" s="20"/>
      <c r="F54" s="20"/>
      <c r="G54" s="20"/>
      <c r="H54" s="30">
        <f t="shared" si="15"/>
        <v>1</v>
      </c>
    </row>
    <row r="55">
      <c r="A55" s="21" t="s">
        <v>103</v>
      </c>
      <c r="B55" s="42" t="s">
        <v>104</v>
      </c>
      <c r="C55" s="20"/>
      <c r="D55" s="20"/>
      <c r="E55" s="20"/>
      <c r="F55" s="20"/>
      <c r="G55" s="29" t="s">
        <v>25</v>
      </c>
      <c r="H55" s="30">
        <f t="shared" si="15"/>
        <v>5</v>
      </c>
    </row>
    <row r="56">
      <c r="A56" s="25"/>
      <c r="B56" s="21" t="s">
        <v>37</v>
      </c>
      <c r="C56" s="40"/>
      <c r="D56" s="40"/>
      <c r="E56" s="40"/>
      <c r="F56" s="40"/>
      <c r="G56" s="40"/>
      <c r="H56" s="30"/>
    </row>
    <row r="57">
      <c r="A57" s="21" t="s">
        <v>105</v>
      </c>
      <c r="B57" s="42" t="s">
        <v>106</v>
      </c>
      <c r="C57" s="29" t="s">
        <v>25</v>
      </c>
      <c r="D57" s="20"/>
      <c r="E57" s="20"/>
      <c r="F57" s="20"/>
      <c r="G57" s="20"/>
      <c r="H57" s="30">
        <f t="shared" ref="H57:H58" si="16">IF(C57="X",1)+IF(D57="X",2)+IF(E57="X",3)+IF(F57="X",4)+IF(G57="X",5)</f>
        <v>1</v>
      </c>
    </row>
    <row r="58">
      <c r="A58" s="41" t="s">
        <v>107</v>
      </c>
      <c r="B58" s="42" t="s">
        <v>108</v>
      </c>
      <c r="C58" s="20"/>
      <c r="D58" s="29" t="s">
        <v>25</v>
      </c>
      <c r="E58" s="20"/>
      <c r="F58" s="20"/>
      <c r="G58" s="20"/>
      <c r="H58" s="30">
        <f t="shared" si="16"/>
        <v>2</v>
      </c>
    </row>
    <row r="59">
      <c r="A59" s="25"/>
      <c r="B59" s="21" t="s">
        <v>42</v>
      </c>
      <c r="C59" s="40"/>
      <c r="D59" s="40"/>
      <c r="E59" s="40"/>
      <c r="F59" s="40"/>
      <c r="G59" s="40"/>
      <c r="H59" s="30"/>
    </row>
    <row r="60">
      <c r="A60" s="21" t="s">
        <v>109</v>
      </c>
      <c r="B60" s="42" t="s">
        <v>110</v>
      </c>
      <c r="C60" s="20"/>
      <c r="D60" s="29" t="s">
        <v>25</v>
      </c>
      <c r="E60" s="20"/>
      <c r="F60" s="20"/>
      <c r="G60" s="20"/>
      <c r="H60" s="30">
        <f t="shared" ref="H60:H61" si="17">IF(C60="X",1)+IF(D60="X",2)+IF(E60="X",3)+IF(F60="X",4)+IF(G60="X",5)</f>
        <v>2</v>
      </c>
    </row>
    <row r="61">
      <c r="A61" s="41" t="s">
        <v>109</v>
      </c>
      <c r="B61" s="42" t="s">
        <v>111</v>
      </c>
      <c r="C61" s="20"/>
      <c r="D61" s="20"/>
      <c r="E61" s="29" t="s">
        <v>25</v>
      </c>
      <c r="F61" s="20"/>
      <c r="G61" s="20"/>
      <c r="H61" s="30">
        <f t="shared" si="17"/>
        <v>3</v>
      </c>
    </row>
    <row r="62">
      <c r="A62" s="20"/>
      <c r="B62" s="21" t="s">
        <v>16</v>
      </c>
      <c r="C62" s="21" t="s">
        <v>17</v>
      </c>
      <c r="D62" s="21" t="s">
        <v>18</v>
      </c>
      <c r="E62" s="21" t="s">
        <v>19</v>
      </c>
      <c r="F62" s="21" t="s">
        <v>20</v>
      </c>
      <c r="G62" s="21" t="s">
        <v>21</v>
      </c>
      <c r="H62" s="27" t="s">
        <v>22</v>
      </c>
    </row>
    <row r="63">
      <c r="A63" s="21" t="s">
        <v>112</v>
      </c>
      <c r="B63" s="42" t="s">
        <v>113</v>
      </c>
      <c r="C63" s="20"/>
      <c r="D63" s="29" t="s">
        <v>25</v>
      </c>
      <c r="E63" s="20"/>
      <c r="F63" s="20"/>
      <c r="G63" s="29"/>
      <c r="H63" s="30">
        <f t="shared" ref="H63:H65" si="18">IF(C63="X",1)+IF(D63="X",2)+IF(E63="X",3)+IF(F63="X",4)+IF(G63="X",5)</f>
        <v>2</v>
      </c>
    </row>
    <row r="64">
      <c r="A64" s="41" t="s">
        <v>114</v>
      </c>
      <c r="B64" s="42" t="s">
        <v>115</v>
      </c>
      <c r="C64" s="20"/>
      <c r="D64" s="20"/>
      <c r="E64" s="20"/>
      <c r="F64" s="20"/>
      <c r="G64" s="29" t="s">
        <v>25</v>
      </c>
      <c r="H64" s="30">
        <f t="shared" si="18"/>
        <v>5</v>
      </c>
    </row>
    <row r="65">
      <c r="A65" s="21" t="s">
        <v>116</v>
      </c>
      <c r="B65" s="42" t="s">
        <v>117</v>
      </c>
      <c r="C65" s="20"/>
      <c r="D65" s="29" t="s">
        <v>25</v>
      </c>
      <c r="E65" s="20"/>
      <c r="F65" s="20"/>
      <c r="G65" s="20"/>
      <c r="H65" s="30">
        <f t="shared" si="18"/>
        <v>2</v>
      </c>
    </row>
    <row r="66">
      <c r="A66" s="25"/>
      <c r="B66" s="21" t="s">
        <v>37</v>
      </c>
      <c r="C66" s="40"/>
      <c r="D66" s="40"/>
      <c r="E66" s="40"/>
      <c r="F66" s="40"/>
      <c r="G66" s="40"/>
      <c r="H66" s="30"/>
    </row>
    <row r="67">
      <c r="A67" s="21" t="s">
        <v>118</v>
      </c>
      <c r="B67" s="42" t="s">
        <v>119</v>
      </c>
      <c r="C67" s="20"/>
      <c r="D67" s="20"/>
      <c r="E67" s="20"/>
      <c r="F67" s="20"/>
      <c r="G67" s="29" t="s">
        <v>25</v>
      </c>
      <c r="H67" s="30">
        <f t="shared" ref="H67:H68" si="19">IF(C67="X",1)+IF(D67="X",2)+IF(E67="X",3)+IF(F67="X",4)+IF(G67="X",5)</f>
        <v>5</v>
      </c>
    </row>
    <row r="68">
      <c r="A68" s="41" t="s">
        <v>120</v>
      </c>
      <c r="B68" s="42" t="s">
        <v>121</v>
      </c>
      <c r="C68" s="20"/>
      <c r="D68" s="20"/>
      <c r="E68" s="20"/>
      <c r="F68" s="20"/>
      <c r="G68" s="29" t="s">
        <v>25</v>
      </c>
      <c r="H68" s="30">
        <f t="shared" si="19"/>
        <v>5</v>
      </c>
    </row>
    <row r="69">
      <c r="A69" s="25"/>
      <c r="B69" s="21" t="s">
        <v>42</v>
      </c>
      <c r="C69" s="40"/>
      <c r="D69" s="40"/>
      <c r="E69" s="40"/>
      <c r="F69" s="40"/>
      <c r="G69" s="40"/>
      <c r="H69" s="30"/>
    </row>
    <row r="70">
      <c r="A70" s="21" t="s">
        <v>122</v>
      </c>
      <c r="B70" s="42" t="s">
        <v>123</v>
      </c>
      <c r="C70" s="20"/>
      <c r="D70" s="20"/>
      <c r="E70" s="29" t="s">
        <v>25</v>
      </c>
      <c r="F70" s="20"/>
      <c r="G70" s="20"/>
      <c r="H70" s="30">
        <f t="shared" ref="H70:H71" si="20">IF(C70="X",1)+IF(D70="X",2)+IF(E70="X",3)+IF(F70="X",4)+IF(G70="X",5)</f>
        <v>3</v>
      </c>
    </row>
    <row r="71">
      <c r="A71" s="41" t="s">
        <v>122</v>
      </c>
      <c r="B71" s="42" t="s">
        <v>124</v>
      </c>
      <c r="C71" s="20"/>
      <c r="D71" s="20"/>
      <c r="E71" s="20"/>
      <c r="F71" s="29" t="s">
        <v>25</v>
      </c>
      <c r="G71" s="20"/>
      <c r="H71" s="30">
        <f t="shared" si="20"/>
        <v>4</v>
      </c>
    </row>
    <row r="72">
      <c r="A72" s="20"/>
      <c r="B72" s="21" t="s">
        <v>16</v>
      </c>
      <c r="C72" s="21" t="s">
        <v>17</v>
      </c>
      <c r="D72" s="21" t="s">
        <v>18</v>
      </c>
      <c r="E72" s="21" t="s">
        <v>19</v>
      </c>
      <c r="F72" s="21" t="s">
        <v>20</v>
      </c>
      <c r="G72" s="21" t="s">
        <v>21</v>
      </c>
      <c r="H72" s="27" t="s">
        <v>22</v>
      </c>
    </row>
    <row r="73">
      <c r="A73" s="21" t="s">
        <v>125</v>
      </c>
      <c r="B73" s="42" t="s">
        <v>126</v>
      </c>
      <c r="C73" s="20"/>
      <c r="D73" s="29" t="s">
        <v>25</v>
      </c>
      <c r="E73" s="20"/>
      <c r="F73" s="20"/>
      <c r="G73" s="29"/>
      <c r="H73" s="30">
        <f t="shared" ref="H73:H75" si="21">IF(C73="X",1)+IF(D73="X",2)+IF(E73="X",3)+IF(F73="X",4)+IF(G73="X",5)</f>
        <v>2</v>
      </c>
    </row>
    <row r="74">
      <c r="A74" s="41" t="s">
        <v>127</v>
      </c>
      <c r="B74" s="42" t="s">
        <v>128</v>
      </c>
      <c r="C74" s="20"/>
      <c r="D74" s="20"/>
      <c r="E74" s="29" t="s">
        <v>25</v>
      </c>
      <c r="F74" s="20"/>
      <c r="G74" s="20"/>
      <c r="H74" s="30">
        <f t="shared" si="21"/>
        <v>3</v>
      </c>
    </row>
    <row r="75">
      <c r="A75" s="21" t="s">
        <v>129</v>
      </c>
      <c r="B75" s="42" t="s">
        <v>130</v>
      </c>
      <c r="C75" s="20"/>
      <c r="D75" s="20"/>
      <c r="E75" s="20"/>
      <c r="F75" s="20"/>
      <c r="G75" s="29" t="s">
        <v>25</v>
      </c>
      <c r="H75" s="30">
        <f t="shared" si="21"/>
        <v>5</v>
      </c>
    </row>
    <row r="76">
      <c r="A76" s="25"/>
      <c r="B76" s="21" t="s">
        <v>30</v>
      </c>
      <c r="C76" s="40"/>
      <c r="D76" s="40"/>
      <c r="E76" s="40"/>
      <c r="F76" s="43"/>
      <c r="G76" s="40"/>
      <c r="H76" s="30"/>
    </row>
    <row r="77">
      <c r="A77" s="21" t="s">
        <v>131</v>
      </c>
      <c r="B77" s="42" t="s">
        <v>132</v>
      </c>
      <c r="C77" s="20"/>
      <c r="D77" s="29" t="s">
        <v>25</v>
      </c>
      <c r="E77" s="20"/>
      <c r="F77" s="20"/>
      <c r="G77" s="20"/>
      <c r="H77" s="30">
        <f t="shared" ref="H77:H79" si="22">IF(C77="X",1)+IF(D77="X",2)+IF(E77="X",3)+IF(F77="X",4)+IF(G77="X",5)</f>
        <v>2</v>
      </c>
    </row>
    <row r="78">
      <c r="A78" s="41" t="s">
        <v>131</v>
      </c>
      <c r="B78" s="42" t="s">
        <v>133</v>
      </c>
      <c r="C78" s="20"/>
      <c r="D78" s="20"/>
      <c r="E78" s="29" t="s">
        <v>25</v>
      </c>
      <c r="F78" s="20"/>
      <c r="G78" s="20"/>
      <c r="H78" s="30">
        <f t="shared" si="22"/>
        <v>3</v>
      </c>
    </row>
    <row r="79">
      <c r="A79" s="21" t="s">
        <v>134</v>
      </c>
      <c r="B79" s="42" t="s">
        <v>135</v>
      </c>
      <c r="C79" s="20"/>
      <c r="D79" s="29" t="s">
        <v>25</v>
      </c>
      <c r="E79" s="20"/>
      <c r="F79" s="20"/>
      <c r="G79" s="20"/>
      <c r="H79" s="30">
        <f t="shared" si="22"/>
        <v>2</v>
      </c>
    </row>
    <row r="80">
      <c r="A80" s="25"/>
      <c r="B80" s="21" t="s">
        <v>37</v>
      </c>
      <c r="C80" s="40"/>
      <c r="D80" s="40"/>
      <c r="E80" s="40"/>
      <c r="F80" s="40"/>
      <c r="G80" s="40"/>
      <c r="H80" s="30"/>
    </row>
    <row r="81">
      <c r="A81" s="21" t="s">
        <v>136</v>
      </c>
      <c r="B81" s="42" t="s">
        <v>137</v>
      </c>
      <c r="C81" s="20"/>
      <c r="D81" s="20"/>
      <c r="E81" s="20"/>
      <c r="F81" s="29" t="s">
        <v>25</v>
      </c>
      <c r="G81" s="20"/>
      <c r="H81" s="30">
        <f t="shared" ref="H81:H82" si="23">IF(C81="X",1)+IF(D81="X",2)+IF(E81="X",3)+IF(F81="X",4)+IF(G81="X",5)</f>
        <v>4</v>
      </c>
    </row>
    <row r="82">
      <c r="A82" s="41" t="s">
        <v>138</v>
      </c>
      <c r="B82" s="42" t="s">
        <v>139</v>
      </c>
      <c r="C82" s="20"/>
      <c r="D82" s="20"/>
      <c r="E82" s="29" t="s">
        <v>25</v>
      </c>
      <c r="F82" s="20"/>
      <c r="G82" s="20"/>
      <c r="H82" s="30">
        <f t="shared" si="23"/>
        <v>3</v>
      </c>
    </row>
    <row r="83">
      <c r="A83" s="25"/>
      <c r="B83" s="21" t="s">
        <v>42</v>
      </c>
      <c r="C83" s="40"/>
      <c r="D83" s="40"/>
      <c r="E83" s="40"/>
      <c r="F83" s="40"/>
      <c r="G83" s="40"/>
      <c r="H83" s="30"/>
    </row>
    <row r="84">
      <c r="A84" s="21" t="s">
        <v>140</v>
      </c>
      <c r="B84" s="42" t="s">
        <v>141</v>
      </c>
      <c r="C84" s="20"/>
      <c r="D84" s="29" t="s">
        <v>25</v>
      </c>
      <c r="E84" s="20"/>
      <c r="F84" s="20"/>
      <c r="G84" s="20"/>
      <c r="H84" s="30">
        <f t="shared" ref="H84:H85" si="24">IF(C84="X",1)+IF(D84="X",2)+IF(E84="X",3)+IF(F84="X",4)+IF(G84="X",5)</f>
        <v>2</v>
      </c>
    </row>
    <row r="85">
      <c r="A85" s="41" t="s">
        <v>140</v>
      </c>
      <c r="B85" s="42" t="s">
        <v>142</v>
      </c>
      <c r="C85" s="20"/>
      <c r="D85" s="20"/>
      <c r="E85" s="20"/>
      <c r="F85" s="29" t="s">
        <v>25</v>
      </c>
      <c r="G85" s="20"/>
      <c r="H85" s="30">
        <f t="shared" si="24"/>
        <v>4</v>
      </c>
    </row>
    <row r="86">
      <c r="A86" s="20"/>
      <c r="B86" s="44" t="s">
        <v>16</v>
      </c>
      <c r="C86" s="21" t="s">
        <v>17</v>
      </c>
      <c r="D86" s="21" t="s">
        <v>18</v>
      </c>
      <c r="E86" s="21" t="s">
        <v>19</v>
      </c>
      <c r="F86" s="21" t="s">
        <v>20</v>
      </c>
      <c r="G86" s="21" t="s">
        <v>21</v>
      </c>
      <c r="H86" s="27" t="s">
        <v>22</v>
      </c>
    </row>
    <row r="87">
      <c r="A87" s="44" t="s">
        <v>143</v>
      </c>
      <c r="B87" s="42" t="s">
        <v>144</v>
      </c>
      <c r="C87" s="20"/>
      <c r="D87" s="20"/>
      <c r="E87" s="29" t="s">
        <v>25</v>
      </c>
      <c r="F87" s="20"/>
      <c r="G87" s="20"/>
      <c r="H87" s="30">
        <f t="shared" ref="H87:H89" si="25">IF(C87="X",1)+IF(D87="X",2)+IF(E87="X",3)+IF(F87="X",4)+IF(G87="X",5)</f>
        <v>3</v>
      </c>
    </row>
    <row r="88">
      <c r="A88" s="45" t="s">
        <v>145</v>
      </c>
      <c r="B88" s="42" t="s">
        <v>146</v>
      </c>
      <c r="C88" s="20"/>
      <c r="D88" s="29" t="s">
        <v>25</v>
      </c>
      <c r="E88" s="20"/>
      <c r="F88" s="20"/>
      <c r="G88" s="20"/>
      <c r="H88" s="30">
        <f t="shared" si="25"/>
        <v>2</v>
      </c>
    </row>
    <row r="89">
      <c r="A89" s="44" t="s">
        <v>147</v>
      </c>
      <c r="B89" s="42" t="s">
        <v>148</v>
      </c>
      <c r="C89" s="20"/>
      <c r="D89" s="29" t="s">
        <v>25</v>
      </c>
      <c r="E89" s="20"/>
      <c r="F89" s="20"/>
      <c r="G89" s="20"/>
      <c r="H89" s="30">
        <f t="shared" si="25"/>
        <v>2</v>
      </c>
    </row>
    <row r="90">
      <c r="A90" s="46"/>
      <c r="B90" s="44" t="s">
        <v>37</v>
      </c>
      <c r="C90" s="40"/>
      <c r="D90" s="40"/>
      <c r="E90" s="40"/>
      <c r="F90" s="40"/>
      <c r="G90" s="40"/>
      <c r="H90" s="30"/>
    </row>
    <row r="91">
      <c r="A91" s="44" t="s">
        <v>149</v>
      </c>
      <c r="B91" s="42" t="s">
        <v>150</v>
      </c>
      <c r="C91" s="20"/>
      <c r="D91" s="29" t="s">
        <v>25</v>
      </c>
      <c r="E91" s="20"/>
      <c r="F91" s="20"/>
      <c r="G91" s="20"/>
      <c r="H91" s="30">
        <f t="shared" ref="H91:H92" si="26">IF(C91="X",1)+IF(D91="X",2)+IF(E91="X",3)+IF(F91="X",4)+IF(G91="X",5)</f>
        <v>2</v>
      </c>
    </row>
    <row r="92">
      <c r="A92" s="45" t="s">
        <v>151</v>
      </c>
      <c r="B92" s="42" t="s">
        <v>152</v>
      </c>
      <c r="C92" s="20"/>
      <c r="D92" s="20"/>
      <c r="E92" s="20"/>
      <c r="F92" s="29" t="s">
        <v>25</v>
      </c>
      <c r="G92" s="20"/>
      <c r="H92" s="30">
        <f t="shared" si="26"/>
        <v>4</v>
      </c>
    </row>
    <row r="93">
      <c r="A93" s="46"/>
      <c r="B93" s="44" t="s">
        <v>42</v>
      </c>
      <c r="C93" s="20"/>
      <c r="D93" s="20"/>
      <c r="E93" s="29"/>
      <c r="F93" s="20"/>
      <c r="G93" s="20"/>
      <c r="H93" s="30"/>
    </row>
    <row r="94">
      <c r="A94" s="44" t="s">
        <v>153</v>
      </c>
      <c r="B94" s="42" t="s">
        <v>154</v>
      </c>
      <c r="C94" s="20"/>
      <c r="D94" s="29" t="s">
        <v>25</v>
      </c>
      <c r="E94" s="20"/>
      <c r="F94" s="20"/>
      <c r="G94" s="20"/>
      <c r="H94" s="30">
        <f t="shared" ref="H94:H95" si="27">IF(C94="X",1)+IF(D94="X",2)+IF(E94="X",3)+IF(F94="X",4)+IF(G94="X",5)</f>
        <v>2</v>
      </c>
    </row>
    <row r="95">
      <c r="A95" s="45" t="s">
        <v>155</v>
      </c>
      <c r="B95" s="42" t="s">
        <v>156</v>
      </c>
      <c r="C95" s="29" t="s">
        <v>25</v>
      </c>
      <c r="D95" s="20"/>
      <c r="E95" s="20"/>
      <c r="F95" s="20"/>
      <c r="G95" s="20"/>
      <c r="H95" s="30">
        <f t="shared" si="27"/>
        <v>1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78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6" width="8.67"/>
  </cols>
  <sheetData>
    <row r="1">
      <c r="A1" s="20"/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27" t="s">
        <v>22</v>
      </c>
      <c r="I1" s="10"/>
    </row>
    <row r="2">
      <c r="A2" s="26" t="s">
        <v>23</v>
      </c>
      <c r="B2" s="28" t="s">
        <v>24</v>
      </c>
      <c r="C2" s="20"/>
      <c r="D2" s="29" t="s">
        <v>25</v>
      </c>
      <c r="E2" s="20"/>
      <c r="F2" s="29"/>
      <c r="G2" s="20"/>
      <c r="H2" s="30">
        <f t="shared" ref="H2:H4" si="1">IF(C2="X",1)+IF(D2="X",2)+IF(E2="X",3)+IF(F2="X",4)+IF(G2="X",5)</f>
        <v>2</v>
      </c>
    </row>
    <row r="3">
      <c r="A3" s="31" t="s">
        <v>26</v>
      </c>
      <c r="B3" s="28" t="s">
        <v>27</v>
      </c>
      <c r="C3" s="20"/>
      <c r="D3" s="20"/>
      <c r="E3" s="29" t="s">
        <v>25</v>
      </c>
      <c r="F3" s="20"/>
      <c r="G3" s="20"/>
      <c r="H3" s="30">
        <f t="shared" si="1"/>
        <v>3</v>
      </c>
    </row>
    <row r="4">
      <c r="A4" s="26" t="s">
        <v>28</v>
      </c>
      <c r="B4" s="28" t="s">
        <v>29</v>
      </c>
      <c r="C4" s="20"/>
      <c r="D4" s="29" t="s">
        <v>25</v>
      </c>
      <c r="E4" s="20"/>
      <c r="F4" s="20"/>
      <c r="G4" s="29"/>
      <c r="H4" s="30">
        <f t="shared" si="1"/>
        <v>2</v>
      </c>
    </row>
    <row r="5">
      <c r="A5" s="32"/>
      <c r="B5" s="26" t="s">
        <v>30</v>
      </c>
      <c r="C5" s="20"/>
      <c r="D5" s="20"/>
      <c r="E5" s="20"/>
      <c r="F5" s="20"/>
      <c r="G5" s="20"/>
      <c r="H5" s="30"/>
    </row>
    <row r="6">
      <c r="A6" s="26" t="s">
        <v>31</v>
      </c>
      <c r="B6" s="28" t="s">
        <v>32</v>
      </c>
      <c r="C6" s="20"/>
      <c r="D6" s="29"/>
      <c r="E6" s="29" t="s">
        <v>25</v>
      </c>
      <c r="F6" s="20"/>
      <c r="G6" s="20"/>
      <c r="H6" s="30">
        <f t="shared" ref="H6:H8" si="2">IF(C6="X",1)+IF(D6="X",2)+IF(E6="X",3)+IF(F6="X",4)+IF(G6="X",5)</f>
        <v>3</v>
      </c>
    </row>
    <row r="7">
      <c r="A7" s="31" t="s">
        <v>33</v>
      </c>
      <c r="B7" s="28" t="s">
        <v>34</v>
      </c>
      <c r="C7" s="29" t="s">
        <v>25</v>
      </c>
      <c r="D7" s="29"/>
      <c r="E7" s="20"/>
      <c r="F7" s="20"/>
      <c r="G7" s="20"/>
      <c r="H7" s="30">
        <f t="shared" si="2"/>
        <v>1</v>
      </c>
    </row>
    <row r="8">
      <c r="A8" s="26" t="s">
        <v>35</v>
      </c>
      <c r="B8" s="28" t="s">
        <v>36</v>
      </c>
      <c r="C8" s="20"/>
      <c r="D8" s="20"/>
      <c r="E8" s="29" t="s">
        <v>25</v>
      </c>
      <c r="F8" s="20"/>
      <c r="G8" s="20"/>
      <c r="H8" s="30">
        <f t="shared" si="2"/>
        <v>3</v>
      </c>
    </row>
    <row r="9">
      <c r="A9" s="32"/>
      <c r="B9" s="26" t="s">
        <v>37</v>
      </c>
      <c r="C9" s="20"/>
      <c r="D9" s="20"/>
      <c r="E9" s="20"/>
      <c r="F9" s="20"/>
      <c r="G9" s="20"/>
      <c r="H9" s="30"/>
    </row>
    <row r="10">
      <c r="A10" s="26" t="s">
        <v>38</v>
      </c>
      <c r="B10" s="28" t="s">
        <v>39</v>
      </c>
      <c r="C10" s="20"/>
      <c r="D10" s="20"/>
      <c r="E10" s="29" t="s">
        <v>25</v>
      </c>
      <c r="F10" s="20"/>
      <c r="G10" s="20"/>
      <c r="H10" s="30">
        <f t="shared" ref="H10:H11" si="3">IF(C10="X",1)+IF(D10="X",2)+IF(E10="X",3)+IF(F10="X",4)+IF(G10="X",5)</f>
        <v>3</v>
      </c>
    </row>
    <row r="11">
      <c r="A11" s="31" t="s">
        <v>40</v>
      </c>
      <c r="B11" s="28" t="s">
        <v>41</v>
      </c>
      <c r="C11" s="20"/>
      <c r="D11" s="20"/>
      <c r="E11" s="20"/>
      <c r="F11" s="20"/>
      <c r="G11" s="29" t="s">
        <v>25</v>
      </c>
      <c r="H11" s="30">
        <f t="shared" si="3"/>
        <v>5</v>
      </c>
    </row>
    <row r="12">
      <c r="A12" s="32"/>
      <c r="B12" s="26" t="s">
        <v>42</v>
      </c>
      <c r="C12" s="20"/>
      <c r="D12" s="20"/>
      <c r="E12" s="20"/>
      <c r="F12" s="20"/>
      <c r="G12" s="20"/>
      <c r="H12" s="30"/>
    </row>
    <row r="13">
      <c r="A13" s="26" t="s">
        <v>43</v>
      </c>
      <c r="B13" s="28" t="s">
        <v>44</v>
      </c>
      <c r="C13" s="20"/>
      <c r="D13" s="20"/>
      <c r="E13" s="29"/>
      <c r="F13" s="20"/>
      <c r="G13" s="29" t="s">
        <v>25</v>
      </c>
      <c r="H13" s="30">
        <f t="shared" ref="H13:H14" si="4">IF(C13="X",1)+IF(D13="X",2)+IF(E13="X",3)+IF(F13="X",4)+IF(G13="X",5)</f>
        <v>5</v>
      </c>
    </row>
    <row r="14">
      <c r="A14" s="31" t="s">
        <v>43</v>
      </c>
      <c r="B14" s="28" t="s">
        <v>45</v>
      </c>
      <c r="C14" s="20"/>
      <c r="D14" s="29"/>
      <c r="E14" s="20"/>
      <c r="F14" s="29" t="s">
        <v>25</v>
      </c>
      <c r="G14" s="20"/>
      <c r="H14" s="30">
        <f t="shared" si="4"/>
        <v>4</v>
      </c>
    </row>
    <row r="15">
      <c r="A15" s="33"/>
      <c r="B15" s="26" t="s">
        <v>16</v>
      </c>
      <c r="C15" s="26" t="s">
        <v>17</v>
      </c>
      <c r="D15" s="26" t="s">
        <v>18</v>
      </c>
      <c r="E15" s="26" t="s">
        <v>19</v>
      </c>
      <c r="F15" s="26" t="s">
        <v>20</v>
      </c>
      <c r="G15" s="26" t="s">
        <v>21</v>
      </c>
      <c r="H15" s="27" t="s">
        <v>22</v>
      </c>
    </row>
    <row r="16">
      <c r="A16" s="26" t="s">
        <v>46</v>
      </c>
      <c r="B16" s="28" t="s">
        <v>47</v>
      </c>
      <c r="C16" s="29" t="s">
        <v>25</v>
      </c>
      <c r="D16" s="20"/>
      <c r="E16" s="20"/>
      <c r="F16" s="20"/>
      <c r="G16" s="29"/>
      <c r="H16" s="30">
        <f t="shared" ref="H16:H18" si="5">IF(C16="X",1)+IF(D16="X",2)+IF(E16="X",3)+IF(F16="X",4)+IF(G16="X",5)</f>
        <v>1</v>
      </c>
    </row>
    <row r="17">
      <c r="A17" s="31" t="s">
        <v>48</v>
      </c>
      <c r="B17" s="28" t="s">
        <v>49</v>
      </c>
      <c r="C17" s="20"/>
      <c r="D17" s="29"/>
      <c r="E17" s="29" t="s">
        <v>25</v>
      </c>
      <c r="F17" s="20"/>
      <c r="G17" s="20"/>
      <c r="H17" s="30">
        <f t="shared" si="5"/>
        <v>3</v>
      </c>
      <c r="I17" s="17"/>
    </row>
    <row r="18">
      <c r="A18" s="26" t="s">
        <v>50</v>
      </c>
      <c r="B18" s="28" t="s">
        <v>51</v>
      </c>
      <c r="C18" s="20"/>
      <c r="D18" s="20"/>
      <c r="E18" s="29" t="s">
        <v>25</v>
      </c>
      <c r="F18" s="29"/>
      <c r="G18" s="20"/>
      <c r="H18" s="30">
        <f t="shared" si="5"/>
        <v>3</v>
      </c>
    </row>
    <row r="19">
      <c r="A19" s="32"/>
      <c r="B19" s="26" t="s">
        <v>30</v>
      </c>
      <c r="C19" s="20"/>
      <c r="D19" s="20"/>
      <c r="E19" s="20"/>
      <c r="F19" s="20"/>
      <c r="G19" s="20"/>
      <c r="H19" s="30"/>
    </row>
    <row r="20">
      <c r="A20" s="26" t="s">
        <v>52</v>
      </c>
      <c r="B20" s="28" t="s">
        <v>53</v>
      </c>
      <c r="C20" s="20"/>
      <c r="D20" s="29" t="s">
        <v>25</v>
      </c>
      <c r="E20" s="20"/>
      <c r="F20" s="20"/>
      <c r="G20" s="20"/>
      <c r="H20" s="30">
        <f t="shared" ref="H20:H22" si="6">IF(C20="X",1)+IF(D20="X",2)+IF(E20="X",3)+IF(F20="X",4)+IF(G20="X",5)</f>
        <v>2</v>
      </c>
    </row>
    <row r="21">
      <c r="A21" s="31" t="s">
        <v>54</v>
      </c>
      <c r="B21" s="28" t="s">
        <v>55</v>
      </c>
      <c r="C21" s="20"/>
      <c r="D21" s="20"/>
      <c r="E21" s="29" t="s">
        <v>25</v>
      </c>
      <c r="F21" s="20"/>
      <c r="G21" s="29"/>
      <c r="H21" s="30">
        <f t="shared" si="6"/>
        <v>3</v>
      </c>
    </row>
    <row r="22">
      <c r="A22" s="26" t="s">
        <v>56</v>
      </c>
      <c r="B22" s="28" t="s">
        <v>57</v>
      </c>
      <c r="C22" s="20"/>
      <c r="D22" s="20"/>
      <c r="E22" s="29" t="s">
        <v>25</v>
      </c>
      <c r="F22" s="20"/>
      <c r="G22" s="29"/>
      <c r="H22" s="30">
        <f t="shared" si="6"/>
        <v>3</v>
      </c>
    </row>
    <row r="23">
      <c r="A23" s="32"/>
      <c r="B23" s="26" t="s">
        <v>37</v>
      </c>
      <c r="C23" s="20"/>
      <c r="D23" s="20"/>
      <c r="E23" s="20"/>
      <c r="F23" s="20"/>
      <c r="G23" s="20"/>
      <c r="H23" s="30"/>
    </row>
    <row r="24">
      <c r="A24" s="26" t="s">
        <v>58</v>
      </c>
      <c r="B24" s="28" t="s">
        <v>59</v>
      </c>
      <c r="C24" s="20"/>
      <c r="D24" s="29" t="s">
        <v>25</v>
      </c>
      <c r="E24" s="29"/>
      <c r="F24" s="20"/>
      <c r="G24" s="20"/>
      <c r="H24" s="30">
        <f t="shared" ref="H24:H25" si="7">IF(C24="X",1)+IF(D24="X",2)+IF(E24="X",3)+IF(F24="X",4)+IF(G24="X",5)</f>
        <v>2</v>
      </c>
    </row>
    <row r="25">
      <c r="A25" s="31" t="s">
        <v>60</v>
      </c>
      <c r="B25" s="28" t="s">
        <v>61</v>
      </c>
      <c r="C25" s="29" t="s">
        <v>25</v>
      </c>
      <c r="D25" s="20"/>
      <c r="E25" s="29"/>
      <c r="F25" s="20"/>
      <c r="G25" s="20"/>
      <c r="H25" s="30">
        <f t="shared" si="7"/>
        <v>1</v>
      </c>
    </row>
    <row r="26">
      <c r="A26" s="34"/>
      <c r="B26" s="26" t="s">
        <v>16</v>
      </c>
      <c r="C26" s="21" t="s">
        <v>17</v>
      </c>
      <c r="D26" s="21" t="s">
        <v>18</v>
      </c>
      <c r="E26" s="21" t="s">
        <v>19</v>
      </c>
      <c r="F26" s="21" t="s">
        <v>20</v>
      </c>
      <c r="G26" s="21" t="s">
        <v>21</v>
      </c>
      <c r="H26" s="27" t="s">
        <v>22</v>
      </c>
    </row>
    <row r="27">
      <c r="A27" s="26" t="s">
        <v>62</v>
      </c>
      <c r="B27" s="28" t="s">
        <v>63</v>
      </c>
      <c r="C27" s="29"/>
      <c r="D27" s="29" t="s">
        <v>25</v>
      </c>
      <c r="E27" s="20"/>
      <c r="F27" s="20"/>
      <c r="G27" s="20"/>
      <c r="H27" s="30">
        <f t="shared" ref="H27:H29" si="8">IF(C27="X",1)+IF(D27="X",2)+IF(E27="X",3)+IF(F27="X",4)+IF(G27="X",5)</f>
        <v>2</v>
      </c>
    </row>
    <row r="28">
      <c r="A28" s="31" t="s">
        <v>64</v>
      </c>
      <c r="B28" s="28" t="s">
        <v>65</v>
      </c>
      <c r="C28" s="29" t="s">
        <v>25</v>
      </c>
      <c r="D28" s="29"/>
      <c r="E28" s="20"/>
      <c r="F28" s="20"/>
      <c r="G28" s="20"/>
      <c r="H28" s="30">
        <f t="shared" si="8"/>
        <v>1</v>
      </c>
    </row>
    <row r="29">
      <c r="A29" s="26" t="s">
        <v>67</v>
      </c>
      <c r="B29" s="28" t="s">
        <v>68</v>
      </c>
      <c r="C29" s="20"/>
      <c r="D29" s="20"/>
      <c r="E29" s="29" t="s">
        <v>25</v>
      </c>
      <c r="F29" s="20"/>
      <c r="G29" s="20"/>
      <c r="H29" s="30">
        <f t="shared" si="8"/>
        <v>3</v>
      </c>
    </row>
    <row r="30">
      <c r="A30" s="32"/>
      <c r="B30" s="26" t="s">
        <v>30</v>
      </c>
      <c r="C30" s="20"/>
      <c r="D30" s="20"/>
      <c r="E30" s="20"/>
      <c r="F30" s="20"/>
      <c r="G30" s="20"/>
      <c r="H30" s="30"/>
    </row>
    <row r="31">
      <c r="A31" s="26" t="s">
        <v>69</v>
      </c>
      <c r="B31" s="28" t="s">
        <v>70</v>
      </c>
      <c r="C31" s="20"/>
      <c r="D31" s="29" t="s">
        <v>25</v>
      </c>
      <c r="E31" s="20"/>
      <c r="F31" s="20"/>
      <c r="G31" s="20"/>
      <c r="H31" s="30">
        <f t="shared" ref="H31:H33" si="9">IF(C31="X",1)+IF(D31="X",2)+IF(E31="X",3)+IF(F31="X",4)+IF(G31="X",5)</f>
        <v>2</v>
      </c>
    </row>
    <row r="32">
      <c r="A32" s="31" t="s">
        <v>71</v>
      </c>
      <c r="B32" s="28" t="s">
        <v>72</v>
      </c>
      <c r="C32" s="29" t="s">
        <v>25</v>
      </c>
      <c r="D32" s="29"/>
      <c r="E32" s="20"/>
      <c r="F32" s="20"/>
      <c r="G32" s="20"/>
      <c r="H32" s="30">
        <f t="shared" si="9"/>
        <v>1</v>
      </c>
      <c r="I32" s="17"/>
    </row>
    <row r="33">
      <c r="A33" s="26" t="s">
        <v>73</v>
      </c>
      <c r="B33" s="28" t="s">
        <v>74</v>
      </c>
      <c r="C33" s="20"/>
      <c r="D33" s="29" t="s">
        <v>25</v>
      </c>
      <c r="E33" s="29"/>
      <c r="F33" s="20"/>
      <c r="G33" s="20"/>
      <c r="H33" s="30">
        <f t="shared" si="9"/>
        <v>2</v>
      </c>
    </row>
    <row r="34">
      <c r="A34" s="35"/>
      <c r="B34" s="26" t="s">
        <v>42</v>
      </c>
      <c r="C34" s="20"/>
      <c r="D34" s="29"/>
      <c r="E34" s="20"/>
      <c r="F34" s="20"/>
      <c r="G34" s="20"/>
      <c r="H34" s="30"/>
    </row>
    <row r="35">
      <c r="A35" s="36" t="s">
        <v>75</v>
      </c>
      <c r="B35" s="28" t="s">
        <v>76</v>
      </c>
      <c r="C35" s="20"/>
      <c r="D35" s="20"/>
      <c r="E35" s="20"/>
      <c r="F35" s="20"/>
      <c r="G35" s="29" t="s">
        <v>25</v>
      </c>
      <c r="H35" s="30">
        <f t="shared" ref="H35:H36" si="10">IF(C35="X",1)+IF(D35="X",2)+IF(E35="X",3)+IF(F35="X",4)+IF(G35="X",5)</f>
        <v>5</v>
      </c>
    </row>
    <row r="36">
      <c r="A36" s="31" t="s">
        <v>75</v>
      </c>
      <c r="B36" s="28" t="s">
        <v>77</v>
      </c>
      <c r="C36" s="20"/>
      <c r="D36" s="20"/>
      <c r="E36" s="29"/>
      <c r="F36" s="20"/>
      <c r="G36" s="29" t="s">
        <v>25</v>
      </c>
      <c r="H36" s="30">
        <f t="shared" si="10"/>
        <v>5</v>
      </c>
    </row>
    <row r="37">
      <c r="A37" s="34"/>
      <c r="B37" s="26" t="s">
        <v>16</v>
      </c>
      <c r="C37" s="21" t="s">
        <v>17</v>
      </c>
      <c r="D37" s="21" t="s">
        <v>18</v>
      </c>
      <c r="E37" s="21" t="s">
        <v>19</v>
      </c>
      <c r="F37" s="21" t="s">
        <v>20</v>
      </c>
      <c r="G37" s="21" t="s">
        <v>21</v>
      </c>
      <c r="H37" s="27" t="s">
        <v>22</v>
      </c>
    </row>
    <row r="38">
      <c r="A38" s="26" t="s">
        <v>78</v>
      </c>
      <c r="B38" s="28" t="s">
        <v>79</v>
      </c>
      <c r="C38" s="29"/>
      <c r="D38" s="20"/>
      <c r="E38" s="29" t="s">
        <v>25</v>
      </c>
      <c r="F38" s="20"/>
      <c r="G38" s="29"/>
      <c r="H38" s="30">
        <f t="shared" ref="H38:H40" si="11">IF(C38="X",1)+IF(D38="X",2)+IF(E38="X",3)+IF(F38="X",4)+IF(G38="X",5)</f>
        <v>3</v>
      </c>
    </row>
    <row r="39">
      <c r="A39" s="37" t="s">
        <v>80</v>
      </c>
      <c r="B39" s="38" t="s">
        <v>81</v>
      </c>
      <c r="C39" s="20"/>
      <c r="D39" s="20"/>
      <c r="E39" s="20"/>
      <c r="F39" s="29" t="s">
        <v>25</v>
      </c>
      <c r="G39" s="20"/>
      <c r="H39" s="30">
        <f t="shared" si="11"/>
        <v>4</v>
      </c>
    </row>
    <row r="40">
      <c r="A40" s="36" t="s">
        <v>82</v>
      </c>
      <c r="B40" s="28" t="s">
        <v>83</v>
      </c>
      <c r="C40" s="20"/>
      <c r="D40" s="20"/>
      <c r="E40" s="20"/>
      <c r="F40" s="29" t="s">
        <v>25</v>
      </c>
      <c r="G40" s="29"/>
      <c r="H40" s="30">
        <f t="shared" si="11"/>
        <v>4</v>
      </c>
    </row>
    <row r="41">
      <c r="A41" s="35"/>
      <c r="B41" s="39" t="s">
        <v>30</v>
      </c>
      <c r="C41" s="40"/>
      <c r="D41" s="40"/>
      <c r="E41" s="40"/>
      <c r="F41" s="40"/>
      <c r="G41" s="40"/>
      <c r="H41" s="30"/>
    </row>
    <row r="42">
      <c r="A42" s="26" t="s">
        <v>84</v>
      </c>
      <c r="B42" s="28" t="s">
        <v>85</v>
      </c>
      <c r="C42" s="20"/>
      <c r="D42" s="20"/>
      <c r="E42" s="29" t="s">
        <v>25</v>
      </c>
      <c r="F42" s="20"/>
      <c r="G42" s="20"/>
      <c r="H42" s="30">
        <f t="shared" ref="H42:H44" si="12">IF(C42="X",1)+IF(D42="X",2)+IF(E42="X",3)+IF(F42="X",4)+IF(G42="X",5)</f>
        <v>3</v>
      </c>
    </row>
    <row r="43">
      <c r="A43" s="31" t="s">
        <v>86</v>
      </c>
      <c r="B43" s="28" t="s">
        <v>87</v>
      </c>
      <c r="C43" s="29"/>
      <c r="D43" s="29" t="s">
        <v>25</v>
      </c>
      <c r="E43" s="20"/>
      <c r="F43" s="20"/>
      <c r="G43" s="20"/>
      <c r="H43" s="30">
        <f t="shared" si="12"/>
        <v>2</v>
      </c>
    </row>
    <row r="44">
      <c r="A44" s="36" t="s">
        <v>88</v>
      </c>
      <c r="B44" s="28" t="s">
        <v>89</v>
      </c>
      <c r="C44" s="29" t="s">
        <v>25</v>
      </c>
      <c r="D44" s="20"/>
      <c r="E44" s="20"/>
      <c r="F44" s="20"/>
      <c r="G44" s="20"/>
      <c r="H44" s="30">
        <f t="shared" si="12"/>
        <v>1</v>
      </c>
    </row>
    <row r="45">
      <c r="A45" s="35"/>
      <c r="B45" s="26" t="s">
        <v>42</v>
      </c>
      <c r="C45" s="40"/>
      <c r="D45" s="40"/>
      <c r="E45" s="40"/>
      <c r="F45" s="40"/>
      <c r="G45" s="40"/>
      <c r="H45" s="30"/>
      <c r="I45" s="17"/>
    </row>
    <row r="46">
      <c r="A46" s="36" t="s">
        <v>90</v>
      </c>
      <c r="B46" s="38" t="s">
        <v>91</v>
      </c>
      <c r="C46" s="20"/>
      <c r="D46" s="20"/>
      <c r="E46" s="20"/>
      <c r="F46" s="29" t="s">
        <v>25</v>
      </c>
      <c r="G46" s="29"/>
      <c r="H46" s="30">
        <f t="shared" ref="H46:H47" si="13">IF(C46="X",1)+IF(D46="X",2)+IF(E46="X",3)+IF(F46="X",4)+IF(G46="X",5)</f>
        <v>4</v>
      </c>
    </row>
    <row r="47">
      <c r="A47" s="41" t="s">
        <v>90</v>
      </c>
      <c r="B47" s="42" t="s">
        <v>92</v>
      </c>
      <c r="C47" s="20"/>
      <c r="D47" s="20"/>
      <c r="E47" s="20"/>
      <c r="F47" s="29"/>
      <c r="G47" s="29" t="s">
        <v>25</v>
      </c>
      <c r="H47" s="30">
        <f t="shared" si="13"/>
        <v>5</v>
      </c>
    </row>
    <row r="48">
      <c r="A48" s="20"/>
      <c r="B48" s="21" t="s">
        <v>16</v>
      </c>
      <c r="C48" s="21" t="s">
        <v>17</v>
      </c>
      <c r="D48" s="21" t="s">
        <v>18</v>
      </c>
      <c r="E48" s="21" t="s">
        <v>19</v>
      </c>
      <c r="F48" s="21" t="s">
        <v>20</v>
      </c>
      <c r="G48" s="21" t="s">
        <v>21</v>
      </c>
      <c r="H48" s="27" t="s">
        <v>22</v>
      </c>
    </row>
    <row r="49">
      <c r="A49" s="21" t="s">
        <v>93</v>
      </c>
      <c r="B49" s="42" t="s">
        <v>94</v>
      </c>
      <c r="C49" s="20"/>
      <c r="D49" s="20"/>
      <c r="E49" s="29" t="s">
        <v>25</v>
      </c>
      <c r="F49" s="20"/>
      <c r="G49" s="29"/>
      <c r="H49" s="30">
        <f t="shared" ref="H49:H51" si="14">IF(C49="X",1)+IF(D49="X",2)+IF(E49="X",3)+IF(F49="X",4)+IF(G49="X",5)</f>
        <v>3</v>
      </c>
    </row>
    <row r="50">
      <c r="A50" s="41" t="s">
        <v>95</v>
      </c>
      <c r="B50" s="42" t="s">
        <v>96</v>
      </c>
      <c r="C50" s="20"/>
      <c r="D50" s="20"/>
      <c r="E50" s="20"/>
      <c r="F50" s="29" t="s">
        <v>25</v>
      </c>
      <c r="G50" s="29"/>
      <c r="H50" s="30">
        <f t="shared" si="14"/>
        <v>4</v>
      </c>
    </row>
    <row r="51">
      <c r="A51" s="21" t="s">
        <v>97</v>
      </c>
      <c r="B51" s="42" t="s">
        <v>98</v>
      </c>
      <c r="C51" s="20"/>
      <c r="D51" s="29" t="s">
        <v>25</v>
      </c>
      <c r="E51" s="20"/>
      <c r="F51" s="20"/>
      <c r="G51" s="20"/>
      <c r="H51" s="30">
        <f t="shared" si="14"/>
        <v>2</v>
      </c>
    </row>
    <row r="52">
      <c r="A52" s="32"/>
      <c r="B52" s="21" t="s">
        <v>30</v>
      </c>
      <c r="C52" s="40"/>
      <c r="D52" s="40"/>
      <c r="E52" s="40"/>
      <c r="F52" s="40"/>
      <c r="G52" s="40"/>
      <c r="H52" s="30"/>
    </row>
    <row r="53">
      <c r="A53" s="21" t="s">
        <v>99</v>
      </c>
      <c r="B53" s="42" t="s">
        <v>100</v>
      </c>
      <c r="C53" s="20"/>
      <c r="D53" s="29"/>
      <c r="E53" s="29" t="s">
        <v>25</v>
      </c>
      <c r="F53" s="20"/>
      <c r="G53" s="20"/>
      <c r="H53" s="30">
        <f t="shared" ref="H53:H55" si="15">IF(C53="X",1)+IF(D53="X",2)+IF(E53="X",3)+IF(F53="X",4)+IF(G53="X",5)</f>
        <v>3</v>
      </c>
    </row>
    <row r="54">
      <c r="A54" s="41" t="s">
        <v>101</v>
      </c>
      <c r="B54" s="42" t="s">
        <v>102</v>
      </c>
      <c r="C54" s="29"/>
      <c r="D54" s="29" t="s">
        <v>25</v>
      </c>
      <c r="E54" s="20"/>
      <c r="F54" s="20"/>
      <c r="G54" s="20"/>
      <c r="H54" s="30">
        <f t="shared" si="15"/>
        <v>2</v>
      </c>
    </row>
    <row r="55">
      <c r="A55" s="21" t="s">
        <v>103</v>
      </c>
      <c r="B55" s="42" t="s">
        <v>104</v>
      </c>
      <c r="C55" s="29" t="s">
        <v>25</v>
      </c>
      <c r="D55" s="20"/>
      <c r="E55" s="20"/>
      <c r="F55" s="20"/>
      <c r="G55" s="29"/>
      <c r="H55" s="30">
        <f t="shared" si="15"/>
        <v>1</v>
      </c>
    </row>
    <row r="56">
      <c r="A56" s="25"/>
      <c r="B56" s="21" t="s">
        <v>37</v>
      </c>
      <c r="C56" s="40"/>
      <c r="D56" s="40"/>
      <c r="E56" s="40"/>
      <c r="F56" s="40"/>
      <c r="G56" s="40"/>
      <c r="H56" s="30"/>
    </row>
    <row r="57">
      <c r="A57" s="21" t="s">
        <v>105</v>
      </c>
      <c r="B57" s="42" t="s">
        <v>106</v>
      </c>
      <c r="C57" s="29"/>
      <c r="D57" s="20"/>
      <c r="E57" s="29" t="s">
        <v>25</v>
      </c>
      <c r="F57" s="20"/>
      <c r="G57" s="20"/>
      <c r="H57" s="30">
        <f t="shared" ref="H57:H58" si="16">IF(C57="X",1)+IF(D57="X",2)+IF(E57="X",3)+IF(F57="X",4)+IF(G57="X",5)</f>
        <v>3</v>
      </c>
    </row>
    <row r="58">
      <c r="A58" s="41" t="s">
        <v>107</v>
      </c>
      <c r="B58" s="42" t="s">
        <v>108</v>
      </c>
      <c r="C58" s="29"/>
      <c r="D58" s="29"/>
      <c r="E58" s="20"/>
      <c r="F58" s="20"/>
      <c r="G58" s="29" t="s">
        <v>25</v>
      </c>
      <c r="H58" s="30">
        <f t="shared" si="16"/>
        <v>5</v>
      </c>
    </row>
    <row r="59">
      <c r="A59" s="25"/>
      <c r="B59" s="21" t="s">
        <v>42</v>
      </c>
      <c r="C59" s="40"/>
      <c r="D59" s="40"/>
      <c r="E59" s="40"/>
      <c r="F59" s="40"/>
      <c r="G59" s="40"/>
      <c r="H59" s="30"/>
    </row>
    <row r="60">
      <c r="A60" s="21" t="s">
        <v>109</v>
      </c>
      <c r="B60" s="42" t="s">
        <v>110</v>
      </c>
      <c r="C60" s="20"/>
      <c r="D60" s="29"/>
      <c r="E60" s="20"/>
      <c r="F60" s="29" t="s">
        <v>25</v>
      </c>
      <c r="G60" s="20"/>
      <c r="H60" s="30">
        <f t="shared" ref="H60:H61" si="17">IF(C60="X",1)+IF(D60="X",2)+IF(E60="X",3)+IF(F60="X",4)+IF(G60="X",5)</f>
        <v>4</v>
      </c>
    </row>
    <row r="61">
      <c r="A61" s="41" t="s">
        <v>109</v>
      </c>
      <c r="B61" s="42" t="s">
        <v>111</v>
      </c>
      <c r="C61" s="20"/>
      <c r="D61" s="20"/>
      <c r="E61" s="29"/>
      <c r="F61" s="20"/>
      <c r="G61" s="29" t="s">
        <v>25</v>
      </c>
      <c r="H61" s="30">
        <f t="shared" si="17"/>
        <v>5</v>
      </c>
    </row>
    <row r="62">
      <c r="A62" s="20"/>
      <c r="B62" s="21" t="s">
        <v>16</v>
      </c>
      <c r="C62" s="21" t="s">
        <v>17</v>
      </c>
      <c r="D62" s="21" t="s">
        <v>18</v>
      </c>
      <c r="E62" s="21" t="s">
        <v>19</v>
      </c>
      <c r="F62" s="21" t="s">
        <v>20</v>
      </c>
      <c r="G62" s="21" t="s">
        <v>21</v>
      </c>
      <c r="H62" s="27" t="s">
        <v>22</v>
      </c>
    </row>
    <row r="63">
      <c r="A63" s="21" t="s">
        <v>112</v>
      </c>
      <c r="B63" s="42" t="s">
        <v>113</v>
      </c>
      <c r="C63" s="20"/>
      <c r="D63" s="29"/>
      <c r="E63" s="29" t="s">
        <v>25</v>
      </c>
      <c r="F63" s="20"/>
      <c r="G63" s="29"/>
      <c r="H63" s="30">
        <f t="shared" ref="H63:H65" si="18">IF(C63="X",1)+IF(D63="X",2)+IF(E63="X",3)+IF(F63="X",4)+IF(G63="X",5)</f>
        <v>3</v>
      </c>
    </row>
    <row r="64">
      <c r="A64" s="41" t="s">
        <v>114</v>
      </c>
      <c r="B64" s="42" t="s">
        <v>115</v>
      </c>
      <c r="C64" s="20"/>
      <c r="D64" s="29" t="s">
        <v>25</v>
      </c>
      <c r="E64" s="20"/>
      <c r="F64" s="20"/>
      <c r="G64" s="29"/>
      <c r="H64" s="30">
        <f t="shared" si="18"/>
        <v>2</v>
      </c>
    </row>
    <row r="65">
      <c r="A65" s="21" t="s">
        <v>116</v>
      </c>
      <c r="B65" s="42" t="s">
        <v>117</v>
      </c>
      <c r="C65" s="20"/>
      <c r="D65" s="29"/>
      <c r="E65" s="20"/>
      <c r="F65" s="29" t="s">
        <v>25</v>
      </c>
      <c r="G65" s="20"/>
      <c r="H65" s="30">
        <f t="shared" si="18"/>
        <v>4</v>
      </c>
    </row>
    <row r="66">
      <c r="A66" s="25"/>
      <c r="B66" s="21" t="s">
        <v>37</v>
      </c>
      <c r="C66" s="40"/>
      <c r="D66" s="40"/>
      <c r="E66" s="40"/>
      <c r="F66" s="40"/>
      <c r="G66" s="40"/>
      <c r="H66" s="30"/>
    </row>
    <row r="67">
      <c r="A67" s="21" t="s">
        <v>118</v>
      </c>
      <c r="B67" s="42" t="s">
        <v>119</v>
      </c>
      <c r="C67" s="20"/>
      <c r="D67" s="20"/>
      <c r="E67" s="20"/>
      <c r="F67" s="29" t="s">
        <v>25</v>
      </c>
      <c r="G67" s="29"/>
      <c r="H67" s="30">
        <f t="shared" ref="H67:H68" si="19">IF(C67="X",1)+IF(D67="X",2)+IF(E67="X",3)+IF(F67="X",4)+IF(G67="X",5)</f>
        <v>4</v>
      </c>
    </row>
    <row r="68">
      <c r="A68" s="41" t="s">
        <v>120</v>
      </c>
      <c r="B68" s="42" t="s">
        <v>121</v>
      </c>
      <c r="C68" s="20"/>
      <c r="D68" s="29" t="s">
        <v>25</v>
      </c>
      <c r="E68" s="20"/>
      <c r="F68" s="20"/>
      <c r="G68" s="29"/>
      <c r="H68" s="30">
        <f t="shared" si="19"/>
        <v>2</v>
      </c>
    </row>
    <row r="69">
      <c r="A69" s="25"/>
      <c r="B69" s="21" t="s">
        <v>42</v>
      </c>
      <c r="C69" s="40"/>
      <c r="D69" s="40"/>
      <c r="E69" s="40"/>
      <c r="F69" s="40"/>
      <c r="G69" s="40"/>
      <c r="H69" s="30"/>
    </row>
    <row r="70">
      <c r="A70" s="21" t="s">
        <v>122</v>
      </c>
      <c r="B70" s="42" t="s">
        <v>123</v>
      </c>
      <c r="C70" s="20"/>
      <c r="D70" s="20"/>
      <c r="E70" s="29" t="s">
        <v>25</v>
      </c>
      <c r="F70" s="20"/>
      <c r="G70" s="20"/>
      <c r="H70" s="30">
        <f t="shared" ref="H70:H71" si="20">IF(C70="X",1)+IF(D70="X",2)+IF(E70="X",3)+IF(F70="X",4)+IF(G70="X",5)</f>
        <v>3</v>
      </c>
    </row>
    <row r="71">
      <c r="A71" s="41" t="s">
        <v>122</v>
      </c>
      <c r="B71" s="42" t="s">
        <v>124</v>
      </c>
      <c r="C71" s="20"/>
      <c r="D71" s="20"/>
      <c r="E71" s="20"/>
      <c r="F71" s="29"/>
      <c r="G71" s="29" t="s">
        <v>25</v>
      </c>
      <c r="H71" s="30">
        <f t="shared" si="20"/>
        <v>5</v>
      </c>
    </row>
    <row r="72">
      <c r="A72" s="20"/>
      <c r="B72" s="21" t="s">
        <v>16</v>
      </c>
      <c r="C72" s="21" t="s">
        <v>17</v>
      </c>
      <c r="D72" s="21" t="s">
        <v>18</v>
      </c>
      <c r="E72" s="21" t="s">
        <v>19</v>
      </c>
      <c r="F72" s="21" t="s">
        <v>20</v>
      </c>
      <c r="G72" s="21" t="s">
        <v>21</v>
      </c>
      <c r="H72" s="27" t="s">
        <v>22</v>
      </c>
    </row>
    <row r="73">
      <c r="A73" s="21" t="s">
        <v>125</v>
      </c>
      <c r="B73" s="42" t="s">
        <v>126</v>
      </c>
      <c r="C73" s="29" t="s">
        <v>25</v>
      </c>
      <c r="D73" s="29"/>
      <c r="E73" s="20"/>
      <c r="F73" s="20"/>
      <c r="G73" s="29"/>
      <c r="H73" s="30">
        <f t="shared" ref="H73:H75" si="21">IF(C73="X",1)+IF(D73="X",2)+IF(E73="X",3)+IF(F73="X",4)+IF(G73="X",5)</f>
        <v>1</v>
      </c>
    </row>
    <row r="74">
      <c r="A74" s="41" t="s">
        <v>127</v>
      </c>
      <c r="B74" s="42" t="s">
        <v>128</v>
      </c>
      <c r="C74" s="29" t="s">
        <v>25</v>
      </c>
      <c r="D74" s="20"/>
      <c r="E74" s="29"/>
      <c r="F74" s="20"/>
      <c r="G74" s="20"/>
      <c r="H74" s="30">
        <f t="shared" si="21"/>
        <v>1</v>
      </c>
    </row>
    <row r="75">
      <c r="A75" s="21" t="s">
        <v>129</v>
      </c>
      <c r="B75" s="42" t="s">
        <v>130</v>
      </c>
      <c r="C75" s="20"/>
      <c r="D75" s="20"/>
      <c r="E75" s="29" t="s">
        <v>25</v>
      </c>
      <c r="F75" s="20"/>
      <c r="G75" s="29"/>
      <c r="H75" s="30">
        <f t="shared" si="21"/>
        <v>3</v>
      </c>
    </row>
    <row r="76">
      <c r="A76" s="25"/>
      <c r="B76" s="21" t="s">
        <v>30</v>
      </c>
      <c r="C76" s="40"/>
      <c r="D76" s="40"/>
      <c r="E76" s="40"/>
      <c r="F76" s="43"/>
      <c r="G76" s="40"/>
      <c r="H76" s="30"/>
    </row>
    <row r="77">
      <c r="A77" s="21" t="s">
        <v>131</v>
      </c>
      <c r="B77" s="42" t="s">
        <v>132</v>
      </c>
      <c r="C77" s="20"/>
      <c r="D77" s="29"/>
      <c r="E77" s="20"/>
      <c r="F77" s="29" t="s">
        <v>25</v>
      </c>
      <c r="G77" s="20"/>
      <c r="H77" s="30">
        <f t="shared" ref="H77:H79" si="22">IF(C77="X",1)+IF(D77="X",2)+IF(E77="X",3)+IF(F77="X",4)+IF(G77="X",5)</f>
        <v>4</v>
      </c>
    </row>
    <row r="78">
      <c r="A78" s="41" t="s">
        <v>131</v>
      </c>
      <c r="B78" s="42" t="s">
        <v>133</v>
      </c>
      <c r="C78" s="20"/>
      <c r="D78" s="29" t="s">
        <v>25</v>
      </c>
      <c r="E78" s="29"/>
      <c r="F78" s="20"/>
      <c r="G78" s="20"/>
      <c r="H78" s="30">
        <f t="shared" si="22"/>
        <v>2</v>
      </c>
    </row>
    <row r="79">
      <c r="A79" s="21" t="s">
        <v>134</v>
      </c>
      <c r="B79" s="42" t="s">
        <v>135</v>
      </c>
      <c r="C79" s="20"/>
      <c r="D79" s="29" t="s">
        <v>25</v>
      </c>
      <c r="E79" s="20"/>
      <c r="F79" s="20"/>
      <c r="G79" s="20"/>
      <c r="H79" s="30">
        <f t="shared" si="22"/>
        <v>2</v>
      </c>
    </row>
    <row r="80">
      <c r="A80" s="25"/>
      <c r="B80" s="21" t="s">
        <v>37</v>
      </c>
      <c r="C80" s="40"/>
      <c r="D80" s="40"/>
      <c r="E80" s="40"/>
      <c r="F80" s="40"/>
      <c r="G80" s="40"/>
      <c r="H80" s="30"/>
    </row>
    <row r="81">
      <c r="A81" s="21" t="s">
        <v>136</v>
      </c>
      <c r="B81" s="42" t="s">
        <v>137</v>
      </c>
      <c r="C81" s="20"/>
      <c r="D81" s="29" t="s">
        <v>25</v>
      </c>
      <c r="E81" s="20"/>
      <c r="F81" s="29"/>
      <c r="G81" s="20"/>
      <c r="H81" s="30">
        <f t="shared" ref="H81:H82" si="23">IF(C81="X",1)+IF(D81="X",2)+IF(E81="X",3)+IF(F81="X",4)+IF(G81="X",5)</f>
        <v>2</v>
      </c>
    </row>
    <row r="82">
      <c r="A82" s="41" t="s">
        <v>138</v>
      </c>
      <c r="B82" s="42" t="s">
        <v>139</v>
      </c>
      <c r="C82" s="20"/>
      <c r="D82" s="20"/>
      <c r="E82" s="29"/>
      <c r="F82" s="29" t="s">
        <v>25</v>
      </c>
      <c r="G82" s="20"/>
      <c r="H82" s="30">
        <f t="shared" si="23"/>
        <v>4</v>
      </c>
    </row>
    <row r="83">
      <c r="A83" s="25"/>
      <c r="B83" s="21" t="s">
        <v>42</v>
      </c>
      <c r="C83" s="40"/>
      <c r="D83" s="40"/>
      <c r="E83" s="40"/>
      <c r="F83" s="40"/>
      <c r="G83" s="40"/>
      <c r="H83" s="30"/>
    </row>
    <row r="84">
      <c r="A84" s="21" t="s">
        <v>140</v>
      </c>
      <c r="B84" s="42" t="s">
        <v>141</v>
      </c>
      <c r="C84" s="20"/>
      <c r="D84" s="29"/>
      <c r="E84" s="20"/>
      <c r="F84" s="29" t="s">
        <v>25</v>
      </c>
      <c r="G84" s="20"/>
      <c r="H84" s="30">
        <f t="shared" ref="H84:H85" si="24">IF(C84="X",1)+IF(D84="X",2)+IF(E84="X",3)+IF(F84="X",4)+IF(G84="X",5)</f>
        <v>4</v>
      </c>
    </row>
    <row r="85">
      <c r="A85" s="41" t="s">
        <v>140</v>
      </c>
      <c r="B85" s="42" t="s">
        <v>142</v>
      </c>
      <c r="C85" s="20"/>
      <c r="D85" s="20"/>
      <c r="E85" s="29" t="s">
        <v>25</v>
      </c>
      <c r="F85" s="29"/>
      <c r="G85" s="20"/>
      <c r="H85" s="30">
        <f t="shared" si="24"/>
        <v>3</v>
      </c>
    </row>
    <row r="86">
      <c r="A86" s="20"/>
      <c r="B86" s="44" t="s">
        <v>16</v>
      </c>
      <c r="C86" s="21" t="s">
        <v>17</v>
      </c>
      <c r="D86" s="21" t="s">
        <v>18</v>
      </c>
      <c r="E86" s="21" t="s">
        <v>19</v>
      </c>
      <c r="F86" s="21" t="s">
        <v>20</v>
      </c>
      <c r="G86" s="21" t="s">
        <v>21</v>
      </c>
      <c r="H86" s="27" t="s">
        <v>22</v>
      </c>
    </row>
    <row r="87">
      <c r="A87" s="44" t="s">
        <v>143</v>
      </c>
      <c r="B87" s="42" t="s">
        <v>144</v>
      </c>
      <c r="C87" s="20"/>
      <c r="D87" s="20"/>
      <c r="E87" s="29"/>
      <c r="F87" s="29" t="s">
        <v>25</v>
      </c>
      <c r="G87" s="20"/>
      <c r="H87" s="30">
        <f t="shared" ref="H87:H89" si="25">IF(C87="X",1)+IF(D87="X",2)+IF(E87="X",3)+IF(F87="X",4)+IF(G87="X",5)</f>
        <v>4</v>
      </c>
    </row>
    <row r="88">
      <c r="A88" s="45" t="s">
        <v>145</v>
      </c>
      <c r="B88" s="42" t="s">
        <v>146</v>
      </c>
      <c r="C88" s="20"/>
      <c r="D88" s="29"/>
      <c r="E88" s="29" t="s">
        <v>25</v>
      </c>
      <c r="F88" s="20"/>
      <c r="G88" s="20"/>
      <c r="H88" s="30">
        <f t="shared" si="25"/>
        <v>3</v>
      </c>
    </row>
    <row r="89">
      <c r="A89" s="44" t="s">
        <v>147</v>
      </c>
      <c r="B89" s="42" t="s">
        <v>148</v>
      </c>
      <c r="C89" s="20"/>
      <c r="D89" s="29"/>
      <c r="E89" s="20"/>
      <c r="F89" s="29" t="s">
        <v>25</v>
      </c>
      <c r="G89" s="20"/>
      <c r="H89" s="30">
        <f t="shared" si="25"/>
        <v>4</v>
      </c>
    </row>
    <row r="90">
      <c r="A90" s="46"/>
      <c r="B90" s="44" t="s">
        <v>37</v>
      </c>
      <c r="C90" s="40"/>
      <c r="D90" s="40"/>
      <c r="E90" s="40"/>
      <c r="F90" s="40"/>
      <c r="G90" s="40"/>
      <c r="H90" s="30"/>
    </row>
    <row r="91">
      <c r="A91" s="44" t="s">
        <v>149</v>
      </c>
      <c r="B91" s="42" t="s">
        <v>150</v>
      </c>
      <c r="C91" s="20"/>
      <c r="D91" s="29" t="s">
        <v>25</v>
      </c>
      <c r="E91" s="20"/>
      <c r="F91" s="20"/>
      <c r="G91" s="20"/>
      <c r="H91" s="30">
        <f t="shared" ref="H91:H92" si="26">IF(C91="X",1)+IF(D91="X",2)+IF(E91="X",3)+IF(F91="X",4)+IF(G91="X",5)</f>
        <v>2</v>
      </c>
    </row>
    <row r="92">
      <c r="A92" s="45" t="s">
        <v>151</v>
      </c>
      <c r="B92" s="42" t="s">
        <v>152</v>
      </c>
      <c r="C92" s="20"/>
      <c r="D92" s="20"/>
      <c r="E92" s="20"/>
      <c r="F92" s="29" t="s">
        <v>25</v>
      </c>
      <c r="G92" s="20"/>
      <c r="H92" s="30">
        <f t="shared" si="26"/>
        <v>4</v>
      </c>
    </row>
    <row r="93">
      <c r="A93" s="46"/>
      <c r="B93" s="44" t="s">
        <v>42</v>
      </c>
      <c r="C93" s="20"/>
      <c r="D93" s="20"/>
      <c r="E93" s="29"/>
      <c r="F93" s="20"/>
      <c r="G93" s="20"/>
      <c r="H93" s="30"/>
    </row>
    <row r="94">
      <c r="A94" s="44" t="s">
        <v>153</v>
      </c>
      <c r="B94" s="42" t="s">
        <v>154</v>
      </c>
      <c r="C94" s="20"/>
      <c r="D94" s="29"/>
      <c r="E94" s="20"/>
      <c r="F94" s="20"/>
      <c r="G94" s="29" t="s">
        <v>25</v>
      </c>
      <c r="H94" s="30">
        <f t="shared" ref="H94:H95" si="27">IF(C94="X",1)+IF(D94="X",2)+IF(E94="X",3)+IF(F94="X",4)+IF(G94="X",5)</f>
        <v>5</v>
      </c>
    </row>
    <row r="95">
      <c r="A95" s="45" t="s">
        <v>155</v>
      </c>
      <c r="B95" s="42" t="s">
        <v>156</v>
      </c>
      <c r="C95" s="29"/>
      <c r="D95" s="20"/>
      <c r="E95" s="29" t="s">
        <v>25</v>
      </c>
      <c r="F95" s="20"/>
      <c r="G95" s="20"/>
      <c r="H95" s="30">
        <f t="shared" si="27"/>
        <v>3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78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6" width="8.67"/>
  </cols>
  <sheetData>
    <row r="1">
      <c r="A1" s="20"/>
      <c r="B1" s="26" t="s">
        <v>16</v>
      </c>
      <c r="C1" s="26" t="s">
        <v>17</v>
      </c>
      <c r="D1" s="26" t="s">
        <v>18</v>
      </c>
      <c r="E1" s="26" t="s">
        <v>19</v>
      </c>
      <c r="F1" s="26" t="s">
        <v>20</v>
      </c>
      <c r="G1" s="26" t="s">
        <v>21</v>
      </c>
      <c r="H1" s="27" t="s">
        <v>22</v>
      </c>
      <c r="I1" s="10"/>
    </row>
    <row r="2">
      <c r="A2" s="26" t="s">
        <v>23</v>
      </c>
      <c r="B2" s="28" t="s">
        <v>24</v>
      </c>
      <c r="C2" s="20"/>
      <c r="D2" s="20"/>
      <c r="E2" s="29" t="s">
        <v>25</v>
      </c>
      <c r="F2" s="29"/>
      <c r="G2" s="20"/>
      <c r="H2" s="30">
        <f t="shared" ref="H2:H4" si="1">IF(C2="X",1)+IF(D2="X",2)+IF(E2="X",3)+IF(F2="X",4)+IF(G2="X",5)</f>
        <v>3</v>
      </c>
    </row>
    <row r="3">
      <c r="A3" s="31" t="s">
        <v>26</v>
      </c>
      <c r="B3" s="28" t="s">
        <v>27</v>
      </c>
      <c r="C3" s="20"/>
      <c r="D3" s="20"/>
      <c r="E3" s="29" t="s">
        <v>25</v>
      </c>
      <c r="F3" s="20"/>
      <c r="G3" s="20"/>
      <c r="H3" s="30">
        <f t="shared" si="1"/>
        <v>3</v>
      </c>
    </row>
    <row r="4">
      <c r="A4" s="26" t="s">
        <v>28</v>
      </c>
      <c r="B4" s="28" t="s">
        <v>29</v>
      </c>
      <c r="C4" s="20"/>
      <c r="D4" s="20"/>
      <c r="E4" s="20"/>
      <c r="F4" s="20"/>
      <c r="G4" s="29" t="s">
        <v>25</v>
      </c>
      <c r="H4" s="30">
        <f t="shared" si="1"/>
        <v>5</v>
      </c>
    </row>
    <row r="5">
      <c r="A5" s="32"/>
      <c r="B5" s="26" t="s">
        <v>30</v>
      </c>
      <c r="C5" s="20"/>
      <c r="D5" s="20"/>
      <c r="E5" s="20"/>
      <c r="F5" s="20"/>
      <c r="G5" s="20"/>
      <c r="H5" s="30"/>
    </row>
    <row r="6">
      <c r="A6" s="26" t="s">
        <v>31</v>
      </c>
      <c r="B6" s="28" t="s">
        <v>32</v>
      </c>
      <c r="C6" s="20"/>
      <c r="D6" s="29"/>
      <c r="E6" s="20"/>
      <c r="F6" s="29" t="s">
        <v>25</v>
      </c>
      <c r="G6" s="20"/>
      <c r="H6" s="30">
        <f t="shared" ref="H6:H8" si="2">IF(C6="X",1)+IF(D6="X",2)+IF(E6="X",3)+IF(F6="X",4)+IF(G6="X",5)</f>
        <v>4</v>
      </c>
    </row>
    <row r="7">
      <c r="A7" s="31" t="s">
        <v>33</v>
      </c>
      <c r="B7" s="28" t="s">
        <v>34</v>
      </c>
      <c r="C7" s="20"/>
      <c r="D7" s="29"/>
      <c r="E7" s="29" t="s">
        <v>25</v>
      </c>
      <c r="F7" s="20"/>
      <c r="G7" s="20"/>
      <c r="H7" s="30">
        <f t="shared" si="2"/>
        <v>3</v>
      </c>
    </row>
    <row r="8">
      <c r="A8" s="26" t="s">
        <v>35</v>
      </c>
      <c r="B8" s="28" t="s">
        <v>36</v>
      </c>
      <c r="C8" s="20"/>
      <c r="D8" s="20"/>
      <c r="E8" s="29" t="s">
        <v>25</v>
      </c>
      <c r="F8" s="20"/>
      <c r="G8" s="20"/>
      <c r="H8" s="30">
        <f t="shared" si="2"/>
        <v>3</v>
      </c>
    </row>
    <row r="9">
      <c r="A9" s="32"/>
      <c r="B9" s="26" t="s">
        <v>37</v>
      </c>
      <c r="C9" s="20"/>
      <c r="D9" s="20"/>
      <c r="E9" s="20"/>
      <c r="F9" s="20"/>
      <c r="G9" s="20"/>
      <c r="H9" s="30"/>
    </row>
    <row r="10">
      <c r="A10" s="26" t="s">
        <v>38</v>
      </c>
      <c r="B10" s="28" t="s">
        <v>39</v>
      </c>
      <c r="C10" s="20"/>
      <c r="D10" s="20"/>
      <c r="E10" s="29" t="s">
        <v>25</v>
      </c>
      <c r="F10" s="20"/>
      <c r="G10" s="20"/>
      <c r="H10" s="30">
        <f t="shared" ref="H10:H11" si="3">IF(C10="X",1)+IF(D10="X",2)+IF(E10="X",3)+IF(F10="X",4)+IF(G10="X",5)</f>
        <v>3</v>
      </c>
    </row>
    <row r="11">
      <c r="A11" s="31" t="s">
        <v>40</v>
      </c>
      <c r="B11" s="28" t="s">
        <v>41</v>
      </c>
      <c r="C11" s="20"/>
      <c r="D11" s="20"/>
      <c r="E11" s="20"/>
      <c r="F11" s="20"/>
      <c r="G11" s="29" t="s">
        <v>25</v>
      </c>
      <c r="H11" s="30">
        <f t="shared" si="3"/>
        <v>5</v>
      </c>
    </row>
    <row r="12">
      <c r="A12" s="32"/>
      <c r="B12" s="26" t="s">
        <v>42</v>
      </c>
      <c r="C12" s="20"/>
      <c r="D12" s="20"/>
      <c r="E12" s="20"/>
      <c r="F12" s="20"/>
      <c r="G12" s="20"/>
      <c r="H12" s="30"/>
    </row>
    <row r="13">
      <c r="A13" s="26" t="s">
        <v>43</v>
      </c>
      <c r="B13" s="28" t="s">
        <v>44</v>
      </c>
      <c r="C13" s="20"/>
      <c r="D13" s="20"/>
      <c r="E13" s="29" t="s">
        <v>25</v>
      </c>
      <c r="F13" s="20"/>
      <c r="G13" s="20"/>
      <c r="H13" s="30">
        <f t="shared" ref="H13:H14" si="4">IF(C13="X",1)+IF(D13="X",2)+IF(E13="X",3)+IF(F13="X",4)+IF(G13="X",5)</f>
        <v>3</v>
      </c>
    </row>
    <row r="14">
      <c r="A14" s="31" t="s">
        <v>43</v>
      </c>
      <c r="B14" s="28" t="s">
        <v>45</v>
      </c>
      <c r="C14" s="20"/>
      <c r="D14" s="29" t="s">
        <v>25</v>
      </c>
      <c r="E14" s="20"/>
      <c r="F14" s="20"/>
      <c r="G14" s="20"/>
      <c r="H14" s="30">
        <f t="shared" si="4"/>
        <v>2</v>
      </c>
    </row>
    <row r="15">
      <c r="A15" s="33"/>
      <c r="B15" s="26" t="s">
        <v>16</v>
      </c>
      <c r="C15" s="20"/>
      <c r="D15" s="20"/>
      <c r="E15" s="20"/>
      <c r="F15" s="20"/>
      <c r="G15" s="20"/>
      <c r="H15" s="30"/>
    </row>
    <row r="16">
      <c r="A16" s="26" t="s">
        <v>46</v>
      </c>
      <c r="B16" s="28" t="s">
        <v>47</v>
      </c>
      <c r="C16" s="20"/>
      <c r="D16" s="20"/>
      <c r="E16" s="20"/>
      <c r="F16" s="20"/>
      <c r="G16" s="29" t="s">
        <v>25</v>
      </c>
      <c r="H16" s="30">
        <f t="shared" ref="H16:H18" si="5">IF(C16="X",1)+IF(D16="X",2)+IF(E16="X",3)+IF(F16="X",4)+IF(G16="X",5)</f>
        <v>5</v>
      </c>
    </row>
    <row r="17">
      <c r="A17" s="31" t="s">
        <v>48</v>
      </c>
      <c r="B17" s="28" t="s">
        <v>49</v>
      </c>
      <c r="C17" s="20"/>
      <c r="D17" s="29" t="s">
        <v>25</v>
      </c>
      <c r="E17" s="20"/>
      <c r="F17" s="20"/>
      <c r="G17" s="20"/>
      <c r="H17" s="30">
        <f t="shared" si="5"/>
        <v>2</v>
      </c>
      <c r="I17" s="17"/>
    </row>
    <row r="18">
      <c r="A18" s="26" t="s">
        <v>50</v>
      </c>
      <c r="B18" s="28" t="s">
        <v>51</v>
      </c>
      <c r="C18" s="20"/>
      <c r="D18" s="20"/>
      <c r="E18" s="29" t="s">
        <v>25</v>
      </c>
      <c r="F18" s="29"/>
      <c r="G18" s="20"/>
      <c r="H18" s="30">
        <f t="shared" si="5"/>
        <v>3</v>
      </c>
    </row>
    <row r="19">
      <c r="A19" s="32"/>
      <c r="B19" s="26" t="s">
        <v>30</v>
      </c>
      <c r="C19" s="20"/>
      <c r="D19" s="20"/>
      <c r="E19" s="20"/>
      <c r="F19" s="20"/>
      <c r="G19" s="20"/>
      <c r="H19" s="30"/>
    </row>
    <row r="20">
      <c r="A20" s="26" t="s">
        <v>52</v>
      </c>
      <c r="B20" s="28" t="s">
        <v>53</v>
      </c>
      <c r="C20" s="20"/>
      <c r="D20" s="29" t="s">
        <v>25</v>
      </c>
      <c r="E20" s="20"/>
      <c r="F20" s="20"/>
      <c r="G20" s="20"/>
      <c r="H20" s="30">
        <f t="shared" ref="H20:H22" si="6">IF(C20="X",1)+IF(D20="X",2)+IF(E20="X",3)+IF(F20="X",4)+IF(G20="X",5)</f>
        <v>2</v>
      </c>
    </row>
    <row r="21">
      <c r="A21" s="31" t="s">
        <v>54</v>
      </c>
      <c r="B21" s="28" t="s">
        <v>55</v>
      </c>
      <c r="C21" s="20"/>
      <c r="D21" s="20"/>
      <c r="E21" s="20"/>
      <c r="F21" s="29" t="s">
        <v>25</v>
      </c>
      <c r="G21" s="29"/>
      <c r="H21" s="30">
        <f t="shared" si="6"/>
        <v>4</v>
      </c>
    </row>
    <row r="22">
      <c r="A22" s="26" t="s">
        <v>56</v>
      </c>
      <c r="B22" s="28" t="s">
        <v>57</v>
      </c>
      <c r="C22" s="20"/>
      <c r="D22" s="20"/>
      <c r="E22" s="20"/>
      <c r="F22" s="20"/>
      <c r="G22" s="29" t="s">
        <v>25</v>
      </c>
      <c r="H22" s="30">
        <f t="shared" si="6"/>
        <v>5</v>
      </c>
    </row>
    <row r="23">
      <c r="A23" s="32"/>
      <c r="B23" s="26" t="s">
        <v>37</v>
      </c>
      <c r="C23" s="20"/>
      <c r="D23" s="20"/>
      <c r="E23" s="20"/>
      <c r="F23" s="20"/>
      <c r="G23" s="20"/>
      <c r="H23" s="30"/>
    </row>
    <row r="24">
      <c r="A24" s="26" t="s">
        <v>58</v>
      </c>
      <c r="B24" s="28" t="s">
        <v>59</v>
      </c>
      <c r="C24" s="20"/>
      <c r="D24" s="20"/>
      <c r="E24" s="29" t="s">
        <v>25</v>
      </c>
      <c r="F24" s="20"/>
      <c r="G24" s="20"/>
      <c r="H24" s="30">
        <f t="shared" ref="H24:H25" si="7">IF(C24="X",1)+IF(D24="X",2)+IF(E24="X",3)+IF(F24="X",4)+IF(G24="X",5)</f>
        <v>3</v>
      </c>
    </row>
    <row r="25">
      <c r="A25" s="31" t="s">
        <v>60</v>
      </c>
      <c r="B25" s="28" t="s">
        <v>61</v>
      </c>
      <c r="C25" s="20"/>
      <c r="D25" s="29" t="s">
        <v>25</v>
      </c>
      <c r="E25" s="29"/>
      <c r="F25" s="20"/>
      <c r="G25" s="20"/>
      <c r="H25" s="30">
        <f t="shared" si="7"/>
        <v>2</v>
      </c>
    </row>
    <row r="26">
      <c r="A26" s="34"/>
      <c r="B26" s="26" t="s">
        <v>16</v>
      </c>
      <c r="C26" s="21" t="s">
        <v>17</v>
      </c>
      <c r="D26" s="21" t="s">
        <v>18</v>
      </c>
      <c r="E26" s="21" t="s">
        <v>19</v>
      </c>
      <c r="F26" s="21" t="s">
        <v>20</v>
      </c>
      <c r="G26" s="21" t="s">
        <v>21</v>
      </c>
      <c r="H26" s="27" t="s">
        <v>22</v>
      </c>
    </row>
    <row r="27">
      <c r="A27" s="26" t="s">
        <v>62</v>
      </c>
      <c r="B27" s="28" t="s">
        <v>63</v>
      </c>
      <c r="C27" s="29"/>
      <c r="D27" s="20"/>
      <c r="E27" s="20"/>
      <c r="F27" s="29" t="s">
        <v>25</v>
      </c>
      <c r="G27" s="20"/>
      <c r="H27" s="30">
        <f t="shared" ref="H27:H29" si="8">IF(C27="X",1)+IF(D27="X",2)+IF(E27="X",3)+IF(F27="X",4)+IF(G27="X",5)</f>
        <v>4</v>
      </c>
    </row>
    <row r="28">
      <c r="A28" s="31" t="s">
        <v>64</v>
      </c>
      <c r="B28" s="28" t="s">
        <v>65</v>
      </c>
      <c r="C28" s="20"/>
      <c r="D28" s="29"/>
      <c r="E28" s="20"/>
      <c r="F28" s="29" t="s">
        <v>25</v>
      </c>
      <c r="G28" s="20"/>
      <c r="H28" s="30">
        <f t="shared" si="8"/>
        <v>4</v>
      </c>
    </row>
    <row r="29">
      <c r="A29" s="26" t="s">
        <v>67</v>
      </c>
      <c r="B29" s="28" t="s">
        <v>68</v>
      </c>
      <c r="C29" s="20"/>
      <c r="D29" s="20"/>
      <c r="E29" s="29" t="s">
        <v>25</v>
      </c>
      <c r="F29" s="20"/>
      <c r="G29" s="20"/>
      <c r="H29" s="30">
        <f t="shared" si="8"/>
        <v>3</v>
      </c>
    </row>
    <row r="30">
      <c r="A30" s="32"/>
      <c r="B30" s="26" t="s">
        <v>30</v>
      </c>
      <c r="C30" s="20"/>
      <c r="D30" s="20"/>
      <c r="E30" s="20"/>
      <c r="F30" s="20"/>
      <c r="G30" s="20"/>
      <c r="H30" s="30"/>
    </row>
    <row r="31">
      <c r="A31" s="26" t="s">
        <v>69</v>
      </c>
      <c r="B31" s="28" t="s">
        <v>70</v>
      </c>
      <c r="C31" s="20"/>
      <c r="D31" s="29"/>
      <c r="E31" s="20"/>
      <c r="F31" s="29" t="s">
        <v>25</v>
      </c>
      <c r="G31" s="20"/>
      <c r="H31" s="30">
        <f t="shared" ref="H31:H33" si="9">IF(C31="X",1)+IF(D31="X",2)+IF(E31="X",3)+IF(F31="X",4)+IF(G31="X",5)</f>
        <v>4</v>
      </c>
    </row>
    <row r="32">
      <c r="A32" s="31" t="s">
        <v>71</v>
      </c>
      <c r="B32" s="28" t="s">
        <v>72</v>
      </c>
      <c r="C32" s="29" t="s">
        <v>25</v>
      </c>
      <c r="D32" s="29"/>
      <c r="E32" s="20"/>
      <c r="F32" s="20"/>
      <c r="G32" s="20"/>
      <c r="H32" s="30">
        <f t="shared" si="9"/>
        <v>1</v>
      </c>
      <c r="I32" s="17"/>
    </row>
    <row r="33">
      <c r="A33" s="26" t="s">
        <v>73</v>
      </c>
      <c r="B33" s="28" t="s">
        <v>74</v>
      </c>
      <c r="C33" s="20"/>
      <c r="D33" s="20"/>
      <c r="E33" s="29" t="s">
        <v>25</v>
      </c>
      <c r="F33" s="20"/>
      <c r="G33" s="20"/>
      <c r="H33" s="30">
        <f t="shared" si="9"/>
        <v>3</v>
      </c>
    </row>
    <row r="34">
      <c r="A34" s="35"/>
      <c r="B34" s="26" t="s">
        <v>42</v>
      </c>
      <c r="C34" s="20"/>
      <c r="D34" s="29"/>
      <c r="E34" s="20"/>
      <c r="F34" s="20"/>
      <c r="G34" s="20"/>
      <c r="H34" s="30"/>
    </row>
    <row r="35">
      <c r="A35" s="36" t="s">
        <v>75</v>
      </c>
      <c r="B35" s="28" t="s">
        <v>76</v>
      </c>
      <c r="C35" s="20"/>
      <c r="D35" s="20"/>
      <c r="E35" s="20"/>
      <c r="F35" s="20"/>
      <c r="G35" s="29" t="s">
        <v>25</v>
      </c>
      <c r="H35" s="30">
        <f t="shared" ref="H35:H36" si="10">IF(C35="X",1)+IF(D35="X",2)+IF(E35="X",3)+IF(F35="X",4)+IF(G35="X",5)</f>
        <v>5</v>
      </c>
    </row>
    <row r="36">
      <c r="A36" s="31" t="s">
        <v>75</v>
      </c>
      <c r="B36" s="28" t="s">
        <v>77</v>
      </c>
      <c r="C36" s="20"/>
      <c r="D36" s="20"/>
      <c r="E36" s="29" t="s">
        <v>25</v>
      </c>
      <c r="F36" s="20"/>
      <c r="G36" s="20"/>
      <c r="H36" s="30">
        <f t="shared" si="10"/>
        <v>3</v>
      </c>
    </row>
    <row r="37">
      <c r="A37" s="34"/>
      <c r="B37" s="26" t="s">
        <v>16</v>
      </c>
      <c r="C37" s="21" t="s">
        <v>17</v>
      </c>
      <c r="D37" s="21" t="s">
        <v>18</v>
      </c>
      <c r="E37" s="21" t="s">
        <v>19</v>
      </c>
      <c r="F37" s="21" t="s">
        <v>20</v>
      </c>
      <c r="G37" s="21" t="s">
        <v>21</v>
      </c>
      <c r="H37" s="27" t="s">
        <v>22</v>
      </c>
    </row>
    <row r="38">
      <c r="A38" s="26" t="s">
        <v>78</v>
      </c>
      <c r="B38" s="28" t="s">
        <v>79</v>
      </c>
      <c r="C38" s="29"/>
      <c r="D38" s="20"/>
      <c r="E38" s="20"/>
      <c r="F38" s="20"/>
      <c r="G38" s="29" t="s">
        <v>25</v>
      </c>
      <c r="H38" s="30">
        <f t="shared" ref="H38:H40" si="11">IF(C38="X",1)+IF(D38="X",2)+IF(E38="X",3)+IF(F38="X",4)+IF(G38="X",5)</f>
        <v>5</v>
      </c>
    </row>
    <row r="39">
      <c r="A39" s="37" t="s">
        <v>80</v>
      </c>
      <c r="B39" s="38" t="s">
        <v>81</v>
      </c>
      <c r="C39" s="20"/>
      <c r="D39" s="20"/>
      <c r="E39" s="29" t="s">
        <v>25</v>
      </c>
      <c r="F39" s="29"/>
      <c r="G39" s="20"/>
      <c r="H39" s="30">
        <f t="shared" si="11"/>
        <v>3</v>
      </c>
    </row>
    <row r="40">
      <c r="A40" s="36" t="s">
        <v>82</v>
      </c>
      <c r="B40" s="28" t="s">
        <v>83</v>
      </c>
      <c r="C40" s="20"/>
      <c r="D40" s="20"/>
      <c r="E40" s="20"/>
      <c r="F40" s="20"/>
      <c r="G40" s="29" t="s">
        <v>25</v>
      </c>
      <c r="H40" s="30">
        <f t="shared" si="11"/>
        <v>5</v>
      </c>
    </row>
    <row r="41">
      <c r="A41" s="35"/>
      <c r="B41" s="39" t="s">
        <v>30</v>
      </c>
      <c r="C41" s="40"/>
      <c r="D41" s="40"/>
      <c r="E41" s="40"/>
      <c r="F41" s="40"/>
      <c r="G41" s="40"/>
      <c r="H41" s="30"/>
    </row>
    <row r="42">
      <c r="A42" s="26" t="s">
        <v>84</v>
      </c>
      <c r="B42" s="28" t="s">
        <v>85</v>
      </c>
      <c r="C42" s="20"/>
      <c r="D42" s="20"/>
      <c r="E42" s="29"/>
      <c r="F42" s="20"/>
      <c r="G42" s="29" t="s">
        <v>25</v>
      </c>
      <c r="H42" s="30">
        <f t="shared" ref="H42:H44" si="12">IF(C42="X",1)+IF(D42="X",2)+IF(E42="X",3)+IF(F42="X",4)+IF(G42="X",5)</f>
        <v>5</v>
      </c>
    </row>
    <row r="43">
      <c r="A43" s="31" t="s">
        <v>86</v>
      </c>
      <c r="B43" s="28" t="s">
        <v>87</v>
      </c>
      <c r="C43" s="29"/>
      <c r="D43" s="20"/>
      <c r="E43" s="29" t="s">
        <v>25</v>
      </c>
      <c r="F43" s="20"/>
      <c r="G43" s="20"/>
      <c r="H43" s="30">
        <f t="shared" si="12"/>
        <v>3</v>
      </c>
    </row>
    <row r="44">
      <c r="A44" s="36" t="s">
        <v>88</v>
      </c>
      <c r="B44" s="28" t="s">
        <v>89</v>
      </c>
      <c r="C44" s="29" t="s">
        <v>25</v>
      </c>
      <c r="D44" s="20"/>
      <c r="E44" s="20"/>
      <c r="F44" s="20"/>
      <c r="G44" s="20"/>
      <c r="H44" s="30">
        <f t="shared" si="12"/>
        <v>1</v>
      </c>
    </row>
    <row r="45">
      <c r="A45" s="35"/>
      <c r="B45" s="26" t="s">
        <v>42</v>
      </c>
      <c r="C45" s="40"/>
      <c r="D45" s="40"/>
      <c r="E45" s="40"/>
      <c r="F45" s="40"/>
      <c r="G45" s="40"/>
      <c r="H45" s="30"/>
      <c r="I45" s="17"/>
    </row>
    <row r="46">
      <c r="A46" s="36" t="s">
        <v>90</v>
      </c>
      <c r="B46" s="38" t="s">
        <v>91</v>
      </c>
      <c r="C46" s="20"/>
      <c r="D46" s="29" t="s">
        <v>25</v>
      </c>
      <c r="E46" s="20"/>
      <c r="F46" s="29"/>
      <c r="G46" s="29"/>
      <c r="H46" s="30">
        <f t="shared" ref="H46:H47" si="13">IF(C46="X",1)+IF(D46="X",2)+IF(E46="X",3)+IF(F46="X",4)+IF(G46="X",5)</f>
        <v>2</v>
      </c>
    </row>
    <row r="47">
      <c r="A47" s="41" t="s">
        <v>90</v>
      </c>
      <c r="B47" s="42" t="s">
        <v>92</v>
      </c>
      <c r="C47" s="20"/>
      <c r="D47" s="20"/>
      <c r="E47" s="20"/>
      <c r="F47" s="29" t="s">
        <v>25</v>
      </c>
      <c r="G47" s="20"/>
      <c r="H47" s="30">
        <f t="shared" si="13"/>
        <v>4</v>
      </c>
    </row>
    <row r="48">
      <c r="A48" s="20"/>
      <c r="B48" s="21" t="s">
        <v>16</v>
      </c>
      <c r="C48" s="21" t="s">
        <v>17</v>
      </c>
      <c r="D48" s="21" t="s">
        <v>18</v>
      </c>
      <c r="E48" s="21" t="s">
        <v>19</v>
      </c>
      <c r="F48" s="21" t="s">
        <v>20</v>
      </c>
      <c r="G48" s="21" t="s">
        <v>21</v>
      </c>
      <c r="H48" s="27" t="s">
        <v>22</v>
      </c>
    </row>
    <row r="49">
      <c r="A49" s="21" t="s">
        <v>93</v>
      </c>
      <c r="B49" s="42" t="s">
        <v>94</v>
      </c>
      <c r="C49" s="20"/>
      <c r="D49" s="20"/>
      <c r="E49" s="20"/>
      <c r="F49" s="20"/>
      <c r="G49" s="29" t="s">
        <v>25</v>
      </c>
      <c r="H49" s="30">
        <f t="shared" ref="H49:H51" si="14">IF(C49="X",1)+IF(D49="X",2)+IF(E49="X",3)+IF(F49="X",4)+IF(G49="X",5)</f>
        <v>5</v>
      </c>
    </row>
    <row r="50">
      <c r="A50" s="41" t="s">
        <v>95</v>
      </c>
      <c r="B50" s="42" t="s">
        <v>96</v>
      </c>
      <c r="C50" s="20"/>
      <c r="D50" s="20"/>
      <c r="E50" s="20"/>
      <c r="F50" s="20"/>
      <c r="G50" s="29" t="s">
        <v>25</v>
      </c>
      <c r="H50" s="30">
        <f t="shared" si="14"/>
        <v>5</v>
      </c>
    </row>
    <row r="51">
      <c r="A51" s="21" t="s">
        <v>97</v>
      </c>
      <c r="B51" s="42" t="s">
        <v>98</v>
      </c>
      <c r="C51" s="20"/>
      <c r="D51" s="29"/>
      <c r="E51" s="20"/>
      <c r="F51" s="29" t="s">
        <v>25</v>
      </c>
      <c r="G51" s="20"/>
      <c r="H51" s="30">
        <f t="shared" si="14"/>
        <v>4</v>
      </c>
    </row>
    <row r="52">
      <c r="A52" s="32"/>
      <c r="B52" s="21" t="s">
        <v>30</v>
      </c>
      <c r="C52" s="40"/>
      <c r="D52" s="40"/>
      <c r="E52" s="40"/>
      <c r="F52" s="40"/>
      <c r="G52" s="40"/>
      <c r="H52" s="30"/>
    </row>
    <row r="53">
      <c r="A53" s="21" t="s">
        <v>99</v>
      </c>
      <c r="B53" s="42" t="s">
        <v>100</v>
      </c>
      <c r="C53" s="20"/>
      <c r="D53" s="29"/>
      <c r="E53" s="20"/>
      <c r="F53" s="29" t="s">
        <v>25</v>
      </c>
      <c r="G53" s="20"/>
      <c r="H53" s="30">
        <f t="shared" ref="H53:H55" si="15">IF(C53="X",1)+IF(D53="X",2)+IF(E53="X",3)+IF(F53="X",4)+IF(G53="X",5)</f>
        <v>4</v>
      </c>
    </row>
    <row r="54">
      <c r="A54" s="41" t="s">
        <v>101</v>
      </c>
      <c r="B54" s="42" t="s">
        <v>102</v>
      </c>
      <c r="C54" s="29"/>
      <c r="D54" s="20"/>
      <c r="E54" s="29" t="s">
        <v>25</v>
      </c>
      <c r="F54" s="20"/>
      <c r="G54" s="20"/>
      <c r="H54" s="30">
        <f t="shared" si="15"/>
        <v>3</v>
      </c>
    </row>
    <row r="55">
      <c r="A55" s="21" t="s">
        <v>103</v>
      </c>
      <c r="B55" s="42" t="s">
        <v>104</v>
      </c>
      <c r="C55" s="20"/>
      <c r="D55" s="20"/>
      <c r="E55" s="20"/>
      <c r="F55" s="29" t="s">
        <v>25</v>
      </c>
      <c r="G55" s="29"/>
      <c r="H55" s="30">
        <f t="shared" si="15"/>
        <v>4</v>
      </c>
    </row>
    <row r="56">
      <c r="A56" s="25"/>
      <c r="B56" s="21" t="s">
        <v>37</v>
      </c>
      <c r="C56" s="40"/>
      <c r="D56" s="40"/>
      <c r="E56" s="40"/>
      <c r="F56" s="40"/>
      <c r="G56" s="40"/>
      <c r="H56" s="30"/>
    </row>
    <row r="57">
      <c r="A57" s="21" t="s">
        <v>105</v>
      </c>
      <c r="B57" s="42" t="s">
        <v>106</v>
      </c>
      <c r="C57" s="29"/>
      <c r="D57" s="20"/>
      <c r="E57" s="20"/>
      <c r="F57" s="29" t="s">
        <v>25</v>
      </c>
      <c r="G57" s="20"/>
      <c r="H57" s="30">
        <f t="shared" ref="H57:H58" si="16">IF(C57="X",1)+IF(D57="X",2)+IF(E57="X",3)+IF(F57="X",4)+IF(G57="X",5)</f>
        <v>4</v>
      </c>
    </row>
    <row r="58">
      <c r="A58" s="41" t="s">
        <v>107</v>
      </c>
      <c r="B58" s="42" t="s">
        <v>108</v>
      </c>
      <c r="C58" s="20"/>
      <c r="D58" s="29"/>
      <c r="E58" s="29" t="s">
        <v>25</v>
      </c>
      <c r="F58" s="20"/>
      <c r="G58" s="20"/>
      <c r="H58" s="30">
        <f t="shared" si="16"/>
        <v>3</v>
      </c>
    </row>
    <row r="59">
      <c r="A59" s="25"/>
      <c r="B59" s="21" t="s">
        <v>42</v>
      </c>
      <c r="C59" s="40"/>
      <c r="D59" s="40"/>
      <c r="E59" s="40"/>
      <c r="F59" s="40"/>
      <c r="G59" s="40"/>
      <c r="H59" s="30"/>
    </row>
    <row r="60">
      <c r="A60" s="21" t="s">
        <v>109</v>
      </c>
      <c r="B60" s="42" t="s">
        <v>110</v>
      </c>
      <c r="C60" s="20"/>
      <c r="D60" s="29"/>
      <c r="E60" s="20"/>
      <c r="F60" s="20"/>
      <c r="G60" s="29" t="s">
        <v>25</v>
      </c>
      <c r="H60" s="30">
        <f t="shared" ref="H60:H61" si="17">IF(C60="X",1)+IF(D60="X",2)+IF(E60="X",3)+IF(F60="X",4)+IF(G60="X",5)</f>
        <v>5</v>
      </c>
    </row>
    <row r="61">
      <c r="A61" s="41" t="s">
        <v>109</v>
      </c>
      <c r="B61" s="42" t="s">
        <v>111</v>
      </c>
      <c r="C61" s="20"/>
      <c r="D61" s="20"/>
      <c r="E61" s="29" t="s">
        <v>25</v>
      </c>
      <c r="F61" s="20"/>
      <c r="G61" s="20"/>
      <c r="H61" s="30">
        <f t="shared" si="17"/>
        <v>3</v>
      </c>
    </row>
    <row r="62">
      <c r="A62" s="20"/>
      <c r="B62" s="21" t="s">
        <v>16</v>
      </c>
      <c r="C62" s="21" t="s">
        <v>17</v>
      </c>
      <c r="D62" s="21" t="s">
        <v>18</v>
      </c>
      <c r="E62" s="21" t="s">
        <v>19</v>
      </c>
      <c r="F62" s="21" t="s">
        <v>20</v>
      </c>
      <c r="G62" s="21" t="s">
        <v>21</v>
      </c>
      <c r="H62" s="27" t="s">
        <v>22</v>
      </c>
    </row>
    <row r="63">
      <c r="A63" s="21" t="s">
        <v>112</v>
      </c>
      <c r="B63" s="42" t="s">
        <v>113</v>
      </c>
      <c r="C63" s="20"/>
      <c r="D63" s="29"/>
      <c r="E63" s="29" t="s">
        <v>25</v>
      </c>
      <c r="F63" s="20"/>
      <c r="G63" s="29"/>
      <c r="H63" s="30">
        <f t="shared" ref="H63:H65" si="18">IF(C63="X",1)+IF(D63="X",2)+IF(E63="X",3)+IF(F63="X",4)+IF(G63="X",5)</f>
        <v>3</v>
      </c>
    </row>
    <row r="64">
      <c r="A64" s="41" t="s">
        <v>114</v>
      </c>
      <c r="B64" s="42" t="s">
        <v>115</v>
      </c>
      <c r="C64" s="20"/>
      <c r="D64" s="20"/>
      <c r="E64" s="20"/>
      <c r="F64" s="29" t="s">
        <v>25</v>
      </c>
      <c r="G64" s="29"/>
      <c r="H64" s="30">
        <f t="shared" si="18"/>
        <v>4</v>
      </c>
    </row>
    <row r="65">
      <c r="A65" s="21" t="s">
        <v>116</v>
      </c>
      <c r="B65" s="42" t="s">
        <v>117</v>
      </c>
      <c r="C65" s="20"/>
      <c r="D65" s="29"/>
      <c r="E65" s="29" t="s">
        <v>25</v>
      </c>
      <c r="F65" s="20"/>
      <c r="G65" s="20"/>
      <c r="H65" s="30">
        <f t="shared" si="18"/>
        <v>3</v>
      </c>
    </row>
    <row r="66">
      <c r="A66" s="25"/>
      <c r="B66" s="21" t="s">
        <v>37</v>
      </c>
      <c r="C66" s="40"/>
      <c r="D66" s="40"/>
      <c r="E66" s="40"/>
      <c r="F66" s="40"/>
      <c r="G66" s="40"/>
      <c r="H66" s="30"/>
    </row>
    <row r="67">
      <c r="A67" s="21" t="s">
        <v>118</v>
      </c>
      <c r="B67" s="42" t="s">
        <v>119</v>
      </c>
      <c r="C67" s="20"/>
      <c r="D67" s="20"/>
      <c r="E67" s="20"/>
      <c r="F67" s="20"/>
      <c r="G67" s="29" t="s">
        <v>25</v>
      </c>
      <c r="H67" s="30">
        <f t="shared" ref="H67:H68" si="19">IF(C67="X",1)+IF(D67="X",2)+IF(E67="X",3)+IF(F67="X",4)+IF(G67="X",5)</f>
        <v>5</v>
      </c>
    </row>
    <row r="68">
      <c r="A68" s="41" t="s">
        <v>120</v>
      </c>
      <c r="B68" s="42" t="s">
        <v>121</v>
      </c>
      <c r="C68" s="20"/>
      <c r="D68" s="20"/>
      <c r="E68" s="20"/>
      <c r="F68" s="29" t="s">
        <v>25</v>
      </c>
      <c r="G68" s="29"/>
      <c r="H68" s="30">
        <f t="shared" si="19"/>
        <v>4</v>
      </c>
    </row>
    <row r="69">
      <c r="A69" s="25"/>
      <c r="B69" s="21" t="s">
        <v>42</v>
      </c>
      <c r="C69" s="40"/>
      <c r="D69" s="40"/>
      <c r="E69" s="40"/>
      <c r="F69" s="40"/>
      <c r="G69" s="40"/>
      <c r="H69" s="30"/>
    </row>
    <row r="70">
      <c r="A70" s="21" t="s">
        <v>122</v>
      </c>
      <c r="B70" s="42" t="s">
        <v>123</v>
      </c>
      <c r="C70" s="20"/>
      <c r="D70" s="20"/>
      <c r="E70" s="29"/>
      <c r="F70" s="29" t="s">
        <v>25</v>
      </c>
      <c r="G70" s="20"/>
      <c r="H70" s="30">
        <f t="shared" ref="H70:H71" si="20">IF(C70="X",1)+IF(D70="X",2)+IF(E70="X",3)+IF(F70="X",4)+IF(G70="X",5)</f>
        <v>4</v>
      </c>
    </row>
    <row r="71">
      <c r="A71" s="41" t="s">
        <v>122</v>
      </c>
      <c r="B71" s="42" t="s">
        <v>124</v>
      </c>
      <c r="C71" s="20"/>
      <c r="D71" s="20"/>
      <c r="E71" s="29" t="s">
        <v>25</v>
      </c>
      <c r="F71" s="29"/>
      <c r="G71" s="20"/>
      <c r="H71" s="30">
        <f t="shared" si="20"/>
        <v>3</v>
      </c>
    </row>
    <row r="72">
      <c r="A72" s="20"/>
      <c r="B72" s="21" t="s">
        <v>16</v>
      </c>
      <c r="C72" s="21" t="s">
        <v>17</v>
      </c>
      <c r="D72" s="21" t="s">
        <v>18</v>
      </c>
      <c r="E72" s="21" t="s">
        <v>19</v>
      </c>
      <c r="F72" s="21" t="s">
        <v>20</v>
      </c>
      <c r="G72" s="21" t="s">
        <v>21</v>
      </c>
      <c r="H72" s="27" t="s">
        <v>22</v>
      </c>
    </row>
    <row r="73">
      <c r="A73" s="21" t="s">
        <v>125</v>
      </c>
      <c r="B73" s="42" t="s">
        <v>126</v>
      </c>
      <c r="C73" s="20"/>
      <c r="D73" s="29"/>
      <c r="E73" s="29" t="s">
        <v>25</v>
      </c>
      <c r="F73" s="20"/>
      <c r="G73" s="29"/>
      <c r="H73" s="30">
        <f t="shared" ref="H73:H75" si="21">IF(C73="X",1)+IF(D73="X",2)+IF(E73="X",3)+IF(F73="X",4)+IF(G73="X",5)</f>
        <v>3</v>
      </c>
    </row>
    <row r="74">
      <c r="A74" s="41" t="s">
        <v>127</v>
      </c>
      <c r="B74" s="42" t="s">
        <v>128</v>
      </c>
      <c r="C74" s="20"/>
      <c r="D74" s="20"/>
      <c r="E74" s="29"/>
      <c r="F74" s="29" t="s">
        <v>25</v>
      </c>
      <c r="G74" s="20"/>
      <c r="H74" s="30">
        <f t="shared" si="21"/>
        <v>4</v>
      </c>
    </row>
    <row r="75">
      <c r="A75" s="21" t="s">
        <v>129</v>
      </c>
      <c r="B75" s="42" t="s">
        <v>130</v>
      </c>
      <c r="C75" s="20"/>
      <c r="D75" s="20"/>
      <c r="E75" s="20"/>
      <c r="F75" s="29" t="s">
        <v>25</v>
      </c>
      <c r="G75" s="29"/>
      <c r="H75" s="30">
        <f t="shared" si="21"/>
        <v>4</v>
      </c>
    </row>
    <row r="76">
      <c r="A76" s="25"/>
      <c r="B76" s="21" t="s">
        <v>30</v>
      </c>
      <c r="C76" s="40"/>
      <c r="D76" s="40"/>
      <c r="E76" s="40"/>
      <c r="F76" s="43"/>
      <c r="G76" s="40"/>
      <c r="H76" s="30"/>
    </row>
    <row r="77">
      <c r="A77" s="21" t="s">
        <v>131</v>
      </c>
      <c r="B77" s="42" t="s">
        <v>132</v>
      </c>
      <c r="C77" s="20"/>
      <c r="D77" s="29"/>
      <c r="E77" s="29" t="s">
        <v>25</v>
      </c>
      <c r="F77" s="20"/>
      <c r="G77" s="20"/>
      <c r="H77" s="30">
        <f t="shared" ref="H77:H79" si="22">IF(C77="X",1)+IF(D77="X",2)+IF(E77="X",3)+IF(F77="X",4)+IF(G77="X",5)</f>
        <v>3</v>
      </c>
    </row>
    <row r="78">
      <c r="A78" s="41" t="s">
        <v>131</v>
      </c>
      <c r="B78" s="42" t="s">
        <v>133</v>
      </c>
      <c r="C78" s="20"/>
      <c r="D78" s="20"/>
      <c r="E78" s="29"/>
      <c r="F78" s="29" t="s">
        <v>25</v>
      </c>
      <c r="G78" s="20"/>
      <c r="H78" s="30">
        <f t="shared" si="22"/>
        <v>4</v>
      </c>
    </row>
    <row r="79">
      <c r="A79" s="21" t="s">
        <v>134</v>
      </c>
      <c r="B79" s="42" t="s">
        <v>135</v>
      </c>
      <c r="C79" s="20"/>
      <c r="D79" s="29"/>
      <c r="E79" s="29" t="s">
        <v>25</v>
      </c>
      <c r="F79" s="20"/>
      <c r="G79" s="20"/>
      <c r="H79" s="30">
        <f t="shared" si="22"/>
        <v>3</v>
      </c>
    </row>
    <row r="80">
      <c r="A80" s="25"/>
      <c r="B80" s="21" t="s">
        <v>37</v>
      </c>
      <c r="C80" s="40"/>
      <c r="D80" s="40"/>
      <c r="E80" s="40"/>
      <c r="F80" s="40"/>
      <c r="G80" s="40"/>
      <c r="H80" s="30"/>
    </row>
    <row r="81">
      <c r="A81" s="21" t="s">
        <v>136</v>
      </c>
      <c r="B81" s="42" t="s">
        <v>137</v>
      </c>
      <c r="C81" s="20"/>
      <c r="D81" s="20"/>
      <c r="E81" s="20"/>
      <c r="F81" s="29"/>
      <c r="G81" s="29" t="s">
        <v>25</v>
      </c>
      <c r="H81" s="30">
        <f t="shared" ref="H81:H82" si="23">IF(C81="X",1)+IF(D81="X",2)+IF(E81="X",3)+IF(F81="X",4)+IF(G81="X",5)</f>
        <v>5</v>
      </c>
    </row>
    <row r="82">
      <c r="A82" s="41" t="s">
        <v>138</v>
      </c>
      <c r="B82" s="42" t="s">
        <v>139</v>
      </c>
      <c r="C82" s="20"/>
      <c r="D82" s="20"/>
      <c r="E82" s="29"/>
      <c r="F82" s="20"/>
      <c r="G82" s="29" t="s">
        <v>25</v>
      </c>
      <c r="H82" s="30">
        <f t="shared" si="23"/>
        <v>5</v>
      </c>
    </row>
    <row r="83">
      <c r="A83" s="25"/>
      <c r="B83" s="21" t="s">
        <v>42</v>
      </c>
      <c r="C83" s="40"/>
      <c r="D83" s="40"/>
      <c r="E83" s="40"/>
      <c r="F83" s="40"/>
      <c r="G83" s="40"/>
      <c r="H83" s="30"/>
    </row>
    <row r="84">
      <c r="A84" s="21" t="s">
        <v>140</v>
      </c>
      <c r="B84" s="42" t="s">
        <v>141</v>
      </c>
      <c r="C84" s="20"/>
      <c r="D84" s="29"/>
      <c r="E84" s="29" t="s">
        <v>25</v>
      </c>
      <c r="F84" s="20"/>
      <c r="G84" s="20"/>
      <c r="H84" s="30">
        <f t="shared" ref="H84:H85" si="24">IF(C84="X",1)+IF(D84="X",2)+IF(E84="X",3)+IF(F84="X",4)+IF(G84="X",5)</f>
        <v>3</v>
      </c>
    </row>
    <row r="85">
      <c r="A85" s="41" t="s">
        <v>140</v>
      </c>
      <c r="B85" s="42" t="s">
        <v>142</v>
      </c>
      <c r="C85" s="20"/>
      <c r="D85" s="20"/>
      <c r="E85" s="20"/>
      <c r="F85" s="29" t="s">
        <v>25</v>
      </c>
      <c r="G85" s="20"/>
      <c r="H85" s="30">
        <f t="shared" si="24"/>
        <v>4</v>
      </c>
    </row>
    <row r="86">
      <c r="A86" s="20"/>
      <c r="B86" s="44" t="s">
        <v>16</v>
      </c>
      <c r="C86" s="21" t="s">
        <v>17</v>
      </c>
      <c r="D86" s="21" t="s">
        <v>18</v>
      </c>
      <c r="E86" s="21" t="s">
        <v>19</v>
      </c>
      <c r="F86" s="21" t="s">
        <v>20</v>
      </c>
      <c r="G86" s="21" t="s">
        <v>21</v>
      </c>
      <c r="H86" s="27" t="s">
        <v>22</v>
      </c>
    </row>
    <row r="87">
      <c r="A87" s="44" t="s">
        <v>143</v>
      </c>
      <c r="B87" s="42" t="s">
        <v>144</v>
      </c>
      <c r="C87" s="20"/>
      <c r="D87" s="20"/>
      <c r="E87" s="29" t="s">
        <v>25</v>
      </c>
      <c r="F87" s="20"/>
      <c r="G87" s="20"/>
      <c r="H87" s="30">
        <f t="shared" ref="H87:H89" si="25">IF(C87="X",1)+IF(D87="X",2)+IF(E87="X",3)+IF(F87="X",4)+IF(G87="X",5)</f>
        <v>3</v>
      </c>
    </row>
    <row r="88">
      <c r="A88" s="45" t="s">
        <v>145</v>
      </c>
      <c r="B88" s="42" t="s">
        <v>146</v>
      </c>
      <c r="C88" s="20"/>
      <c r="D88" s="29"/>
      <c r="E88" s="20"/>
      <c r="F88" s="29" t="s">
        <v>25</v>
      </c>
      <c r="G88" s="20"/>
      <c r="H88" s="30">
        <f t="shared" si="25"/>
        <v>4</v>
      </c>
    </row>
    <row r="89">
      <c r="A89" s="44" t="s">
        <v>147</v>
      </c>
      <c r="B89" s="42" t="s">
        <v>148</v>
      </c>
      <c r="C89" s="20"/>
      <c r="D89" s="29"/>
      <c r="E89" s="29" t="s">
        <v>25</v>
      </c>
      <c r="F89" s="20"/>
      <c r="G89" s="20"/>
      <c r="H89" s="30">
        <f t="shared" si="25"/>
        <v>3</v>
      </c>
    </row>
    <row r="90">
      <c r="A90" s="46"/>
      <c r="B90" s="44" t="s">
        <v>37</v>
      </c>
      <c r="C90" s="40"/>
      <c r="D90" s="40"/>
      <c r="E90" s="40"/>
      <c r="F90" s="40"/>
      <c r="G90" s="40"/>
      <c r="H90" s="30"/>
    </row>
    <row r="91">
      <c r="A91" s="44" t="s">
        <v>149</v>
      </c>
      <c r="B91" s="42" t="s">
        <v>150</v>
      </c>
      <c r="C91" s="20"/>
      <c r="D91" s="29"/>
      <c r="E91" s="20"/>
      <c r="F91" s="20"/>
      <c r="G91" s="29" t="s">
        <v>25</v>
      </c>
      <c r="H91" s="30">
        <f t="shared" ref="H91:H92" si="26">IF(C91="X",1)+IF(D91="X",2)+IF(E91="X",3)+IF(F91="X",4)+IF(G91="X",5)</f>
        <v>5</v>
      </c>
    </row>
    <row r="92">
      <c r="A92" s="45" t="s">
        <v>151</v>
      </c>
      <c r="B92" s="42" t="s">
        <v>152</v>
      </c>
      <c r="C92" s="20"/>
      <c r="D92" s="20"/>
      <c r="E92" s="20"/>
      <c r="F92" s="29" t="s">
        <v>25</v>
      </c>
      <c r="G92" s="20"/>
      <c r="H92" s="30">
        <f t="shared" si="26"/>
        <v>4</v>
      </c>
    </row>
    <row r="93">
      <c r="A93" s="46"/>
      <c r="B93" s="44" t="s">
        <v>42</v>
      </c>
      <c r="C93" s="20"/>
      <c r="D93" s="20"/>
      <c r="E93" s="29"/>
      <c r="F93" s="20"/>
      <c r="G93" s="20"/>
      <c r="H93" s="30"/>
    </row>
    <row r="94">
      <c r="A94" s="44" t="s">
        <v>153</v>
      </c>
      <c r="B94" s="42" t="s">
        <v>154</v>
      </c>
      <c r="C94" s="20"/>
      <c r="D94" s="29"/>
      <c r="E94" s="29" t="s">
        <v>25</v>
      </c>
      <c r="F94" s="20"/>
      <c r="G94" s="20"/>
      <c r="H94" s="30">
        <f t="shared" ref="H94:H95" si="27">IF(C94="X",1)+IF(D94="X",2)+IF(E94="X",3)+IF(F94="X",4)+IF(G94="X",5)</f>
        <v>3</v>
      </c>
    </row>
    <row r="95">
      <c r="A95" s="45" t="s">
        <v>155</v>
      </c>
      <c r="B95" s="42" t="s">
        <v>156</v>
      </c>
      <c r="C95" s="29"/>
      <c r="D95" s="20"/>
      <c r="E95" s="20"/>
      <c r="F95" s="29" t="s">
        <v>25</v>
      </c>
      <c r="G95" s="20"/>
      <c r="H95" s="30">
        <f t="shared" si="27"/>
        <v>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22"/>
    <col customWidth="1" min="2" max="2" width="54.56"/>
    <col customWidth="1" min="3" max="3" width="14.67"/>
    <col customWidth="1" min="4" max="4" width="20.67"/>
    <col customWidth="1" min="5" max="21" width="8.67"/>
  </cols>
  <sheetData>
    <row r="1">
      <c r="B1" s="8" t="s">
        <v>16</v>
      </c>
      <c r="C1" s="9" t="s">
        <v>22</v>
      </c>
      <c r="D1" s="47"/>
    </row>
    <row r="2">
      <c r="A2" s="11" t="s">
        <v>23</v>
      </c>
      <c r="B2" s="12" t="s">
        <v>24</v>
      </c>
      <c r="C2" s="48">
        <f>AVERAGE(Quest.Utente1!H2,Quest.Utente2!H2,Quest.Utente3!H2,Quest.Utente4!H2)</f>
        <v>3</v>
      </c>
      <c r="D2" s="48"/>
    </row>
    <row r="3">
      <c r="A3" s="14" t="s">
        <v>26</v>
      </c>
      <c r="B3" s="12" t="s">
        <v>27</v>
      </c>
      <c r="C3" s="48">
        <f>AVERAGE(Quest.Utente1!H3,Quest.Utente2!H3,Quest.Utente3!H3,Quest.Utente4!H3)</f>
        <v>3.5</v>
      </c>
      <c r="D3" s="48"/>
    </row>
    <row r="4">
      <c r="A4" s="11" t="s">
        <v>28</v>
      </c>
      <c r="B4" s="12" t="s">
        <v>29</v>
      </c>
      <c r="C4" s="48">
        <f>AVERAGE(Quest.Utente1!H4,Quest.Utente2!H4,Quest.Utente3!H4,Quest.Utente4!H4)</f>
        <v>3.5</v>
      </c>
      <c r="D4" s="48"/>
    </row>
    <row r="5">
      <c r="A5" s="16"/>
      <c r="B5" s="8" t="s">
        <v>30</v>
      </c>
      <c r="C5" s="48"/>
      <c r="D5" s="48"/>
    </row>
    <row r="6">
      <c r="A6" s="11" t="s">
        <v>31</v>
      </c>
      <c r="B6" s="12" t="s">
        <v>32</v>
      </c>
      <c r="C6" s="48">
        <f>AVERAGE(Quest.Utente1!H6,Quest.Utente2!H6,Quest.Utente3!H6,Quest.Utente4!H6)</f>
        <v>3.25</v>
      </c>
      <c r="D6" s="48"/>
    </row>
    <row r="7">
      <c r="A7" s="14" t="s">
        <v>33</v>
      </c>
      <c r="B7" s="12" t="s">
        <v>34</v>
      </c>
      <c r="C7" s="48">
        <f>AVERAGE(Quest.Utente1!H7,Quest.Utente2!H7,Quest.Utente3!H7,Quest.Utente4!H7)</f>
        <v>2.75</v>
      </c>
      <c r="D7" s="48"/>
    </row>
    <row r="8">
      <c r="A8" s="11" t="s">
        <v>35</v>
      </c>
      <c r="B8" s="12" t="s">
        <v>36</v>
      </c>
      <c r="C8" s="48">
        <f>AVERAGE(Quest.Utente1!H8,Quest.Utente2!H8,Quest.Utente3!H8,Quest.Utente4!H8)</f>
        <v>3</v>
      </c>
    </row>
    <row r="9">
      <c r="A9" s="16"/>
      <c r="B9" s="8" t="s">
        <v>37</v>
      </c>
      <c r="C9" s="48"/>
    </row>
    <row r="10">
      <c r="A10" s="11" t="s">
        <v>38</v>
      </c>
      <c r="B10" s="12" t="s">
        <v>39</v>
      </c>
      <c r="C10" s="48">
        <f>AVERAGE(Quest.Utente1!H10,Quest.Utente2!H10,Quest.Utente3!H10,Quest.Utente4!H10)</f>
        <v>3.5</v>
      </c>
    </row>
    <row r="11">
      <c r="A11" s="14" t="s">
        <v>40</v>
      </c>
      <c r="B11" s="12" t="s">
        <v>41</v>
      </c>
      <c r="C11" s="48">
        <f>AVERAGE(Quest.Utente1!H11,Quest.Utente2!H11,Quest.Utente3!H11,Quest.Utente4!H11)</f>
        <v>4.75</v>
      </c>
    </row>
    <row r="12">
      <c r="A12" s="16"/>
      <c r="B12" s="8" t="s">
        <v>42</v>
      </c>
      <c r="C12" s="48"/>
    </row>
    <row r="13">
      <c r="A13" s="11" t="s">
        <v>43</v>
      </c>
      <c r="B13" s="12" t="s">
        <v>44</v>
      </c>
      <c r="C13" s="48">
        <f>AVERAGE(Quest.Utente1!H13,Quest.Utente2!H13,Quest.Utente3!H13,Quest.Utente4!H13)</f>
        <v>4</v>
      </c>
    </row>
    <row r="14">
      <c r="A14" s="14" t="s">
        <v>43</v>
      </c>
      <c r="B14" s="12" t="s">
        <v>45</v>
      </c>
      <c r="C14" s="48">
        <f>AVERAGE(Quest.Utente1!H14,Quest.Utente2!H14,Quest.Utente3!H14,Quest.Utente4!H14)</f>
        <v>3.25</v>
      </c>
    </row>
    <row r="15">
      <c r="A15" s="8"/>
      <c r="B15" s="8" t="s">
        <v>16</v>
      </c>
      <c r="C15" s="48"/>
    </row>
    <row r="16">
      <c r="A16" s="11" t="s">
        <v>46</v>
      </c>
      <c r="B16" s="12" t="s">
        <v>47</v>
      </c>
      <c r="C16" s="49">
        <f>AVERAGE(Quest.Utente1!H16,Quest.Utente2!H16,Quest.Utente3!H16,Quest.Utente4!H16)</f>
        <v>3.25</v>
      </c>
    </row>
    <row r="17">
      <c r="A17" s="14" t="s">
        <v>48</v>
      </c>
      <c r="B17" s="12" t="s">
        <v>49</v>
      </c>
      <c r="C17" s="49">
        <f>AVERAGE(Quest.Utente1!H17,Quest.Utente2!H17,Quest.Utente3!H17,Quest.Utente4!H17)</f>
        <v>2</v>
      </c>
      <c r="D17" s="17"/>
    </row>
    <row r="18">
      <c r="A18" s="11" t="s">
        <v>50</v>
      </c>
      <c r="B18" s="12" t="s">
        <v>51</v>
      </c>
      <c r="C18" s="49">
        <f>AVERAGE(Quest.Utente1!H18,Quest.Utente2!H18,Quest.Utente3!H18,Quest.Utente4!H18)</f>
        <v>3.5</v>
      </c>
    </row>
    <row r="19">
      <c r="A19" s="16"/>
      <c r="B19" s="8" t="s">
        <v>30</v>
      </c>
      <c r="C19" s="48"/>
    </row>
    <row r="20">
      <c r="A20" s="11" t="s">
        <v>52</v>
      </c>
      <c r="B20" s="12" t="s">
        <v>53</v>
      </c>
      <c r="C20" s="49">
        <f>AVERAGE(Quest.Utente1!H20,Quest.Utente2!H20,Quest.Utente3!H20,Quest.Utente4!H20)</f>
        <v>2.5</v>
      </c>
    </row>
    <row r="21">
      <c r="A21" s="14" t="s">
        <v>54</v>
      </c>
      <c r="B21" s="12" t="s">
        <v>55</v>
      </c>
      <c r="C21" s="49">
        <f>AVERAGE(Quest.Utente1!H21,Quest.Utente2!H21,Quest.Utente3!H21,Quest.Utente4!H21)</f>
        <v>4</v>
      </c>
    </row>
    <row r="22">
      <c r="A22" s="11" t="s">
        <v>56</v>
      </c>
      <c r="B22" s="12" t="s">
        <v>57</v>
      </c>
      <c r="C22" s="49">
        <f>AVERAGE(Quest.Utente1!H22,Quest.Utente2!H22,Quest.Utente3!H22,Quest.Utente4!H22)</f>
        <v>4</v>
      </c>
    </row>
    <row r="23">
      <c r="A23" s="16"/>
      <c r="B23" s="8" t="s">
        <v>37</v>
      </c>
      <c r="C23" s="48"/>
    </row>
    <row r="24">
      <c r="A24" s="11" t="s">
        <v>58</v>
      </c>
      <c r="B24" s="12" t="s">
        <v>59</v>
      </c>
      <c r="C24" s="49">
        <f>AVERAGE(Quest.Utente1!H24,Quest.Utente2!H24,Quest.Utente3!H24,Quest.Utente4!H24)</f>
        <v>3.25</v>
      </c>
    </row>
    <row r="25">
      <c r="A25" s="14" t="s">
        <v>60</v>
      </c>
      <c r="B25" s="12" t="s">
        <v>61</v>
      </c>
      <c r="C25" s="49">
        <f>AVERAGE(Quest.Utente1!H25,Quest.Utente2!H25,Quest.Utente3!H25,Quest.Utente4!H25)</f>
        <v>2</v>
      </c>
    </row>
    <row r="26">
      <c r="B26" s="8" t="s">
        <v>16</v>
      </c>
      <c r="C26" s="48"/>
    </row>
    <row r="27">
      <c r="A27" s="11" t="s">
        <v>62</v>
      </c>
      <c r="B27" s="12" t="s">
        <v>63</v>
      </c>
      <c r="C27" s="49">
        <f>AVERAGE(Quest.Utente1!H27,Quest.Utente2!H27,Quest.Utente3!H27,Quest.Utente4!H27)</f>
        <v>2.75</v>
      </c>
    </row>
    <row r="28">
      <c r="A28" s="14" t="s">
        <v>64</v>
      </c>
      <c r="B28" s="12" t="s">
        <v>65</v>
      </c>
      <c r="C28" s="49">
        <f>AVERAGE(Quest.Utente1!H28,Quest.Utente2!H28,Quest.Utente3!H28,Quest.Utente4!H28)</f>
        <v>2.5</v>
      </c>
    </row>
    <row r="29">
      <c r="A29" s="11" t="s">
        <v>67</v>
      </c>
      <c r="B29" s="12" t="s">
        <v>68</v>
      </c>
      <c r="C29" s="49">
        <f>AVERAGE(Quest.Utente1!H29,Quest.Utente2!H29,Quest.Utente3!H29,Quest.Utente4!H29)</f>
        <v>3.25</v>
      </c>
    </row>
    <row r="30">
      <c r="A30" s="16"/>
      <c r="B30" s="8" t="s">
        <v>30</v>
      </c>
      <c r="C30" s="48"/>
    </row>
    <row r="31">
      <c r="A31" s="11" t="s">
        <v>69</v>
      </c>
      <c r="B31" s="12" t="s">
        <v>70</v>
      </c>
      <c r="C31" s="49">
        <f>AVERAGE(Quest.Utente1!H31,Quest.Utente2!H31,Quest.Utente3!H31,Quest.Utente4!H31)</f>
        <v>3.25</v>
      </c>
    </row>
    <row r="32">
      <c r="A32" s="14" t="s">
        <v>71</v>
      </c>
      <c r="B32" s="12" t="s">
        <v>72</v>
      </c>
      <c r="C32" s="49">
        <f>AVERAGE(Quest.Utente1!H32,Quest.Utente2!H32,Quest.Utente3!H32,Quest.Utente4!H32)</f>
        <v>2</v>
      </c>
      <c r="D32" s="17"/>
    </row>
    <row r="33">
      <c r="A33" s="11" t="s">
        <v>73</v>
      </c>
      <c r="B33" s="12" t="s">
        <v>74</v>
      </c>
      <c r="C33" s="49">
        <f>AVERAGE(Quest.Utente1!H33,Quest.Utente2!H33,Quest.Utente3!H33,Quest.Utente4!H33)</f>
        <v>3.25</v>
      </c>
    </row>
    <row r="34">
      <c r="A34" s="16"/>
      <c r="B34" s="8" t="s">
        <v>42</v>
      </c>
      <c r="C34" s="48"/>
    </row>
    <row r="35">
      <c r="A35" s="11" t="s">
        <v>75</v>
      </c>
      <c r="B35" s="12" t="s">
        <v>76</v>
      </c>
      <c r="C35" s="49">
        <f>AVERAGE(Quest.Utente1!H35,Quest.Utente2!H35,Quest.Utente3!H35,Quest.Utente4!H35)</f>
        <v>5</v>
      </c>
    </row>
    <row r="36">
      <c r="A36" s="14" t="s">
        <v>75</v>
      </c>
      <c r="B36" s="12" t="s">
        <v>77</v>
      </c>
      <c r="C36" s="49">
        <f>AVERAGE(Quest.Utente1!H36,Quest.Utente2!H36,Quest.Utente3!H36,Quest.Utente4!H36)</f>
        <v>3.75</v>
      </c>
    </row>
    <row r="37">
      <c r="B37" s="8" t="s">
        <v>16</v>
      </c>
      <c r="C37" s="48"/>
    </row>
    <row r="38">
      <c r="A38" s="11" t="s">
        <v>78</v>
      </c>
      <c r="B38" s="12" t="s">
        <v>79</v>
      </c>
      <c r="C38" s="49">
        <f>AVERAGE(Quest.Utente1!H38,Quest.Utente2!H38,Quest.Utente3!H38,Quest.Utente4!H38)</f>
        <v>4.25</v>
      </c>
    </row>
    <row r="39">
      <c r="A39" s="14" t="s">
        <v>80</v>
      </c>
      <c r="B39" s="12" t="s">
        <v>81</v>
      </c>
      <c r="C39" s="49">
        <f>AVERAGE(Quest.Utente1!H39,Quest.Utente2!H39,Quest.Utente3!H39,Quest.Utente4!H39)</f>
        <v>3.5</v>
      </c>
    </row>
    <row r="40">
      <c r="A40" s="11" t="s">
        <v>82</v>
      </c>
      <c r="B40" s="12" t="s">
        <v>83</v>
      </c>
      <c r="C40" s="49">
        <f>AVERAGE(Quest.Utente1!H40,Quest.Utente2!H40,Quest.Utente3!H40,Quest.Utente4!H40)</f>
        <v>4.5</v>
      </c>
    </row>
    <row r="41">
      <c r="A41" s="16"/>
      <c r="B41" s="18" t="s">
        <v>30</v>
      </c>
      <c r="C41" s="48"/>
    </row>
    <row r="42">
      <c r="A42" s="11" t="s">
        <v>84</v>
      </c>
      <c r="B42" s="12" t="s">
        <v>85</v>
      </c>
      <c r="C42" s="49">
        <f>AVERAGE(Quest.Utente1!H42,Quest.Utente2!H42,Quest.Utente3!H42,Quest.Utente4!H42)</f>
        <v>3.75</v>
      </c>
    </row>
    <row r="43">
      <c r="A43" s="14" t="s">
        <v>86</v>
      </c>
      <c r="B43" s="12" t="s">
        <v>87</v>
      </c>
      <c r="C43" s="49">
        <f>AVERAGE(Quest.Utente1!H43,Quest.Utente2!H43,Quest.Utente3!H43,Quest.Utente4!H43)</f>
        <v>2.5</v>
      </c>
    </row>
    <row r="44">
      <c r="A44" s="11" t="s">
        <v>88</v>
      </c>
      <c r="B44" s="12" t="s">
        <v>89</v>
      </c>
      <c r="C44" s="49">
        <f>AVERAGE(Quest.Utente1!H44,Quest.Utente2!H44,Quest.Utente3!H44,Quest.Utente4!H44)</f>
        <v>2</v>
      </c>
    </row>
    <row r="45">
      <c r="A45" s="16"/>
      <c r="B45" s="8" t="s">
        <v>42</v>
      </c>
      <c r="C45" s="48"/>
    </row>
    <row r="46">
      <c r="A46" s="11" t="s">
        <v>90</v>
      </c>
      <c r="B46" s="12" t="s">
        <v>91</v>
      </c>
      <c r="C46" s="49">
        <f>AVERAGE(Quest.Utente1!H46,Quest.Utente2!H46,Quest.Utente3!H46,Quest.Utente4!H46)</f>
        <v>3.25</v>
      </c>
    </row>
    <row r="47">
      <c r="A47" s="14" t="s">
        <v>90</v>
      </c>
      <c r="B47" s="12" t="s">
        <v>92</v>
      </c>
      <c r="C47" s="49">
        <f>AVERAGE(Quest.Utente1!H47,Quest.Utente2!H47,Quest.Utente3!H47,Quest.Utente4!H47)</f>
        <v>4.5</v>
      </c>
    </row>
    <row r="48">
      <c r="B48" s="8" t="s">
        <v>16</v>
      </c>
    </row>
    <row r="49">
      <c r="A49" s="11" t="s">
        <v>93</v>
      </c>
      <c r="B49" s="12" t="s">
        <v>94</v>
      </c>
      <c r="C49" s="49">
        <f>AVERAGE(Quest.Utente1!H49,Quest.Utente2!H49,Quest.Utente3!H49,Quest.Utente4!H49)</f>
        <v>3.75</v>
      </c>
    </row>
    <row r="50">
      <c r="A50" s="14" t="s">
        <v>95</v>
      </c>
      <c r="B50" s="12" t="s">
        <v>96</v>
      </c>
      <c r="C50" s="49">
        <f>AVERAGE(Quest.Utente1!H50,Quest.Utente2!H50,Quest.Utente3!H50,Quest.Utente4!H50)</f>
        <v>4.25</v>
      </c>
    </row>
    <row r="51">
      <c r="A51" s="11" t="s">
        <v>97</v>
      </c>
      <c r="B51" s="12" t="s">
        <v>98</v>
      </c>
      <c r="C51" s="49">
        <f>AVERAGE(Quest.Utente1!H51,Quest.Utente2!H51,Quest.Utente3!H51,Quest.Utente4!H51)</f>
        <v>3</v>
      </c>
    </row>
    <row r="52">
      <c r="A52" s="16"/>
      <c r="B52" s="8" t="s">
        <v>30</v>
      </c>
      <c r="C52" s="48"/>
    </row>
    <row r="53">
      <c r="A53" s="11" t="s">
        <v>99</v>
      </c>
      <c r="B53" s="12" t="s">
        <v>100</v>
      </c>
      <c r="C53" s="49">
        <f>AVERAGE(Quest.Utente1!H53,Quest.Utente2!H53,Quest.Utente3!H53,Quest.Utente4!H53)</f>
        <v>3.5</v>
      </c>
    </row>
    <row r="54">
      <c r="A54" s="14" t="s">
        <v>101</v>
      </c>
      <c r="B54" s="12" t="s">
        <v>102</v>
      </c>
      <c r="C54" s="49">
        <f>AVERAGE(Quest.Utente1!H54,Quest.Utente2!H54,Quest.Utente3!H54,Quest.Utente4!H54)</f>
        <v>2.25</v>
      </c>
    </row>
    <row r="55">
      <c r="A55" s="11" t="s">
        <v>103</v>
      </c>
      <c r="B55" s="12" t="s">
        <v>104</v>
      </c>
      <c r="C55" s="49">
        <f>AVERAGE(Quest.Utente1!H55,Quest.Utente2!H55,Quest.Utente3!H55,Quest.Utente4!H55)</f>
        <v>3.25</v>
      </c>
    </row>
    <row r="56">
      <c r="A56" s="16"/>
      <c r="B56" s="8" t="s">
        <v>37</v>
      </c>
      <c r="C56" s="48"/>
    </row>
    <row r="57">
      <c r="A57" s="11" t="s">
        <v>105</v>
      </c>
      <c r="B57" s="12" t="s">
        <v>106</v>
      </c>
      <c r="C57" s="49">
        <f>AVERAGE(Quest.Utente1!H57,Quest.Utente2!H57,Quest.Utente3!H57,Quest.Utente4!H57)</f>
        <v>3</v>
      </c>
    </row>
    <row r="58">
      <c r="A58" s="14" t="s">
        <v>107</v>
      </c>
      <c r="B58" s="12" t="s">
        <v>108</v>
      </c>
      <c r="C58" s="49">
        <f>AVERAGE(Quest.Utente1!H58,Quest.Utente2!H58,Quest.Utente3!H58,Quest.Utente4!H58)</f>
        <v>3.25</v>
      </c>
    </row>
    <row r="59">
      <c r="A59" s="16"/>
      <c r="B59" s="8" t="s">
        <v>42</v>
      </c>
      <c r="C59" s="48"/>
    </row>
    <row r="60">
      <c r="A60" s="11" t="s">
        <v>109</v>
      </c>
      <c r="B60" s="12" t="s">
        <v>110</v>
      </c>
      <c r="C60" s="49">
        <f>AVERAGE(Quest.Utente1!H60,Quest.Utente2!H60,Quest.Utente3!H60,Quest.Utente4!H60)</f>
        <v>4</v>
      </c>
    </row>
    <row r="61">
      <c r="A61" s="14" t="s">
        <v>109</v>
      </c>
      <c r="B61" s="12" t="s">
        <v>111</v>
      </c>
      <c r="C61" s="49">
        <f>AVERAGE(Quest.Utente1!H61,Quest.Utente2!H61,Quest.Utente3!H61,Quest.Utente4!H61)</f>
        <v>4</v>
      </c>
    </row>
    <row r="62">
      <c r="B62" s="8" t="s">
        <v>16</v>
      </c>
      <c r="C62" s="48"/>
    </row>
    <row r="63">
      <c r="A63" s="11" t="s">
        <v>112</v>
      </c>
      <c r="B63" s="12" t="s">
        <v>113</v>
      </c>
      <c r="C63" s="49">
        <f>AVERAGE(Quest.Utente1!H63,Quest.Utente2!H63,Quest.Utente3!H63,Quest.Utente4!H63)</f>
        <v>3.25</v>
      </c>
    </row>
    <row r="64">
      <c r="A64" s="14" t="s">
        <v>114</v>
      </c>
      <c r="B64" s="12" t="s">
        <v>115</v>
      </c>
      <c r="C64" s="49">
        <f>AVERAGE(Quest.Utente1!H64,Quest.Utente2!H64,Quest.Utente3!H64,Quest.Utente4!H64)</f>
        <v>3.75</v>
      </c>
    </row>
    <row r="65">
      <c r="A65" s="11" t="s">
        <v>116</v>
      </c>
      <c r="B65" s="12" t="s">
        <v>117</v>
      </c>
      <c r="C65" s="49">
        <f>AVERAGE(Quest.Utente1!H65,Quest.Utente2!H65,Quest.Utente3!H65,Quest.Utente4!H65)</f>
        <v>2.5</v>
      </c>
    </row>
    <row r="66">
      <c r="A66" s="16"/>
      <c r="B66" s="8" t="s">
        <v>37</v>
      </c>
      <c r="C66" s="48"/>
    </row>
    <row r="67">
      <c r="A67" s="11" t="s">
        <v>118</v>
      </c>
      <c r="B67" s="12" t="s">
        <v>119</v>
      </c>
      <c r="C67" s="49">
        <f>AVERAGE(Quest.Utente1!H67,Quest.Utente2!H67,Quest.Utente3!H67,Quest.Utente4!H67)</f>
        <v>3.75</v>
      </c>
    </row>
    <row r="68">
      <c r="A68" s="14" t="s">
        <v>120</v>
      </c>
      <c r="B68" s="12" t="s">
        <v>121</v>
      </c>
      <c r="C68" s="49">
        <f>AVERAGE(Quest.Utente1!H68,Quest.Utente2!H68,Quest.Utente3!H68,Quest.Utente4!H68)</f>
        <v>3.75</v>
      </c>
    </row>
    <row r="69">
      <c r="A69" s="16"/>
      <c r="B69" s="8" t="s">
        <v>42</v>
      </c>
      <c r="C69" s="48"/>
    </row>
    <row r="70">
      <c r="A70" s="11" t="s">
        <v>122</v>
      </c>
      <c r="B70" s="12" t="s">
        <v>123</v>
      </c>
      <c r="C70" s="49">
        <f>AVERAGE(Quest.Utente1!H70,Quest.Utente2!H70,Quest.Utente3!H70,Quest.Utente4!H70)</f>
        <v>3</v>
      </c>
    </row>
    <row r="71">
      <c r="A71" s="14" t="s">
        <v>122</v>
      </c>
      <c r="B71" s="12" t="s">
        <v>124</v>
      </c>
      <c r="C71" s="49">
        <f>AVERAGE(Quest.Utente1!H71,Quest.Utente2!H71,Quest.Utente3!H71,Quest.Utente4!H71)</f>
        <v>4.25</v>
      </c>
    </row>
    <row r="72">
      <c r="B72" s="8" t="s">
        <v>16</v>
      </c>
      <c r="C72" s="48"/>
    </row>
    <row r="73">
      <c r="A73" s="11" t="s">
        <v>125</v>
      </c>
      <c r="B73" s="12" t="s">
        <v>126</v>
      </c>
      <c r="C73" s="49">
        <f>AVERAGE(Quest.Utente1!H73,Quest.Utente2!H73,Quest.Utente3!H73,Quest.Utente4!H73)</f>
        <v>3</v>
      </c>
    </row>
    <row r="74">
      <c r="A74" s="14" t="s">
        <v>127</v>
      </c>
      <c r="B74" s="12" t="s">
        <v>128</v>
      </c>
      <c r="C74" s="49">
        <f>AVERAGE(Quest.Utente1!H74,Quest.Utente2!H74,Quest.Utente3!H74,Quest.Utente4!H74)</f>
        <v>2.75</v>
      </c>
    </row>
    <row r="75">
      <c r="A75" s="11" t="s">
        <v>129</v>
      </c>
      <c r="B75" s="12" t="s">
        <v>130</v>
      </c>
      <c r="C75" s="49">
        <f>AVERAGE(Quest.Utente1!H75,Quest.Utente2!H75,Quest.Utente3!H75,Quest.Utente4!H75)</f>
        <v>4</v>
      </c>
    </row>
    <row r="76">
      <c r="A76" s="16"/>
      <c r="B76" s="8" t="s">
        <v>30</v>
      </c>
      <c r="C76" s="48"/>
    </row>
    <row r="77">
      <c r="A77" s="11" t="s">
        <v>131</v>
      </c>
      <c r="B77" s="12" t="s">
        <v>132</v>
      </c>
      <c r="C77" s="49">
        <f>AVERAGE(Quest.Utente1!H77,Quest.Utente2!H77,Quest.Utente3!H77,Quest.Utente4!H77)</f>
        <v>3.5</v>
      </c>
    </row>
    <row r="78">
      <c r="A78" s="14" t="s">
        <v>131</v>
      </c>
      <c r="B78" s="12" t="s">
        <v>133</v>
      </c>
      <c r="C78" s="49">
        <f>AVERAGE(Quest.Utente1!H78,Quest.Utente2!H78,Quest.Utente3!H78,Quest.Utente4!H78)</f>
        <v>3</v>
      </c>
    </row>
    <row r="79">
      <c r="A79" s="11" t="s">
        <v>134</v>
      </c>
      <c r="B79" s="12" t="s">
        <v>135</v>
      </c>
      <c r="C79" s="49">
        <f>AVERAGE(Quest.Utente1!H79,Quest.Utente2!H79,Quest.Utente3!H79,Quest.Utente4!H79)</f>
        <v>2.75</v>
      </c>
    </row>
    <row r="80">
      <c r="A80" s="16"/>
      <c r="B80" s="8" t="s">
        <v>37</v>
      </c>
      <c r="C80" s="48"/>
    </row>
    <row r="81">
      <c r="A81" s="11" t="s">
        <v>136</v>
      </c>
      <c r="B81" s="12" t="s">
        <v>137</v>
      </c>
      <c r="C81" s="49">
        <f>AVERAGE(Quest.Utente1!H81,Quest.Utente2!H81,Quest.Utente3!H81,Quest.Utente4!H81)</f>
        <v>3.25</v>
      </c>
    </row>
    <row r="82">
      <c r="A82" s="14" t="s">
        <v>138</v>
      </c>
      <c r="B82" s="12" t="s">
        <v>139</v>
      </c>
      <c r="C82" s="49">
        <f>AVERAGE(Quest.Utente1!H82,Quest.Utente2!H82,Quest.Utente3!H82,Quest.Utente4!H82)</f>
        <v>4.25</v>
      </c>
    </row>
    <row r="83">
      <c r="A83" s="16"/>
      <c r="B83" s="8" t="s">
        <v>42</v>
      </c>
      <c r="C83" s="48"/>
    </row>
    <row r="84">
      <c r="A84" s="11" t="s">
        <v>140</v>
      </c>
      <c r="B84" s="12" t="s">
        <v>141</v>
      </c>
      <c r="C84" s="49">
        <f>AVERAGE(Quest.Utente1!H84,Quest.Utente2!H84,Quest.Utente3!H84,Quest.Utente4!H84)</f>
        <v>3.5</v>
      </c>
    </row>
    <row r="85">
      <c r="A85" s="14" t="s">
        <v>140</v>
      </c>
      <c r="B85" s="12" t="s">
        <v>142</v>
      </c>
      <c r="C85" s="49">
        <f>AVERAGE(Quest.Utente1!H85,Quest.Utente2!H85,Quest.Utente3!H85,Quest.Utente4!H85)</f>
        <v>3.5</v>
      </c>
    </row>
    <row r="86">
      <c r="A86" s="20"/>
      <c r="B86" s="21" t="s">
        <v>16</v>
      </c>
      <c r="C86" s="48"/>
    </row>
    <row r="87">
      <c r="A87" s="22" t="s">
        <v>143</v>
      </c>
      <c r="B87" s="23" t="s">
        <v>144</v>
      </c>
      <c r="C87" s="49">
        <f>AVERAGE(Quest.Utente1!H87,Quest.Utente2!H87,Quest.Utente3!H87,Quest.Utente4!H87)</f>
        <v>3.75</v>
      </c>
    </row>
    <row r="88">
      <c r="A88" s="24" t="s">
        <v>145</v>
      </c>
      <c r="B88" s="23" t="s">
        <v>146</v>
      </c>
      <c r="C88" s="49">
        <f>AVERAGE(Quest.Utente1!H88,Quest.Utente2!H88,Quest.Utente3!H88,Quest.Utente4!H88)</f>
        <v>3</v>
      </c>
    </row>
    <row r="89">
      <c r="A89" s="22" t="s">
        <v>147</v>
      </c>
      <c r="B89" s="23" t="s">
        <v>148</v>
      </c>
      <c r="C89" s="49">
        <f>AVERAGE(Quest.Utente1!H89,Quest.Utente2!H89,Quest.Utente3!H89,Quest.Utente4!H89)</f>
        <v>3</v>
      </c>
    </row>
    <row r="90">
      <c r="A90" s="25"/>
      <c r="B90" s="21" t="s">
        <v>37</v>
      </c>
      <c r="C90" s="48"/>
    </row>
    <row r="91">
      <c r="A91" s="22" t="s">
        <v>149</v>
      </c>
      <c r="B91" s="23" t="s">
        <v>150</v>
      </c>
      <c r="C91" s="49">
        <f>AVERAGE(Quest.Utente1!H91,Quest.Utente2!H91,Quest.Utente3!H91,Quest.Utente4!H91)</f>
        <v>3.25</v>
      </c>
    </row>
    <row r="92">
      <c r="A92" s="24" t="s">
        <v>151</v>
      </c>
      <c r="B92" s="23" t="s">
        <v>152</v>
      </c>
      <c r="C92" s="49">
        <f>AVERAGE(Quest.Utente1!H92,Quest.Utente2!H92,Quest.Utente3!H92,Quest.Utente4!H92)</f>
        <v>3.75</v>
      </c>
    </row>
    <row r="93">
      <c r="A93" s="25"/>
      <c r="B93" s="21" t="s">
        <v>42</v>
      </c>
      <c r="C93" s="48"/>
    </row>
    <row r="94">
      <c r="A94" s="22" t="s">
        <v>153</v>
      </c>
      <c r="B94" s="23" t="s">
        <v>154</v>
      </c>
      <c r="C94" s="49">
        <f>AVERAGE(Quest.Utente1!H94,Quest.Utente2!H94,Quest.Utente3!H94,Quest.Utente4!H94)</f>
        <v>3.75</v>
      </c>
    </row>
    <row r="95">
      <c r="A95" s="24" t="s">
        <v>155</v>
      </c>
      <c r="B95" s="23" t="s">
        <v>156</v>
      </c>
      <c r="C95" s="49">
        <f>AVERAGE(Quest.Utente1!H95,Quest.Utente2!H95,Quest.Utente3!H95,Quest.Utente4!H95)</f>
        <v>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10.33"/>
    <col customWidth="1" min="3" max="26" width="8.67"/>
  </cols>
  <sheetData>
    <row r="1">
      <c r="A1" s="50" t="s">
        <v>157</v>
      </c>
      <c r="B1" s="50" t="s">
        <v>158</v>
      </c>
      <c r="C1" s="50" t="s">
        <v>159</v>
      </c>
      <c r="D1" s="50" t="s">
        <v>160</v>
      </c>
      <c r="E1" s="50" t="s">
        <v>161</v>
      </c>
    </row>
    <row r="2">
      <c r="A2" s="51" t="s">
        <v>162</v>
      </c>
      <c r="B2" s="51">
        <f>AVERAGE(MEDIE!C2:C4)</f>
        <v>3.333333333</v>
      </c>
      <c r="C2" s="51">
        <f>AVERAGE(MEDIE!C6:C8)</f>
        <v>3</v>
      </c>
      <c r="D2" s="51">
        <f>AVERAGE(MEDIE!C10:C11)</f>
        <v>4.125</v>
      </c>
      <c r="E2" s="51">
        <f>AVERAGE(MEDIE!C13:C14)</f>
        <v>3.625</v>
      </c>
    </row>
    <row r="3">
      <c r="A3" s="52" t="s">
        <v>163</v>
      </c>
      <c r="B3" s="52">
        <f>AVERAGE(MEDIE!C17)</f>
        <v>2</v>
      </c>
      <c r="C3" s="52">
        <f>AVERAGE(MEDIE!C20:C22)</f>
        <v>3.5</v>
      </c>
      <c r="D3" s="52">
        <f>AVERAGE(MEDIE!C24:C25)</f>
        <v>2.625</v>
      </c>
      <c r="E3" s="52" t="s">
        <v>164</v>
      </c>
    </row>
    <row r="4">
      <c r="A4" s="51" t="s">
        <v>165</v>
      </c>
      <c r="B4" s="51">
        <f>AVERAGE(MEDIE!C27:C29)</f>
        <v>2.833333333</v>
      </c>
      <c r="C4" s="51">
        <f>AVERAGE(MEDIE!C31:C33)</f>
        <v>2.833333333</v>
      </c>
      <c r="D4" s="51" t="s">
        <v>164</v>
      </c>
      <c r="E4" s="51">
        <f>AVERAGE(MEDIE!C35:C36)</f>
        <v>4.375</v>
      </c>
    </row>
    <row r="5">
      <c r="A5" s="52" t="s">
        <v>166</v>
      </c>
      <c r="B5" s="52">
        <f>AVERAGE(MEDIE!C38:C40)</f>
        <v>4.083333333</v>
      </c>
      <c r="C5" s="52">
        <f>AVERAGE(MEDIE!C42:C44)</f>
        <v>2.75</v>
      </c>
      <c r="D5" s="52" t="s">
        <v>164</v>
      </c>
      <c r="E5" s="52">
        <f>AVERAGE(MEDIE!C46:C47)</f>
        <v>3.875</v>
      </c>
    </row>
    <row r="6">
      <c r="A6" s="51" t="s">
        <v>167</v>
      </c>
      <c r="B6" s="51">
        <f>AVERAGE(MEDIE!C49:C51)</f>
        <v>3.666666667</v>
      </c>
      <c r="C6" s="51">
        <f>AVERAGE(MEDIE!C53:C55)</f>
        <v>3</v>
      </c>
      <c r="D6" s="51">
        <f>AVERAGE(MEDIE!C57:C58)</f>
        <v>3.125</v>
      </c>
      <c r="E6" s="51">
        <f>AVERAGE(MEDIE!C60:C61)</f>
        <v>4</v>
      </c>
    </row>
    <row r="7">
      <c r="A7" s="52" t="s">
        <v>168</v>
      </c>
      <c r="B7" s="52">
        <f>AVERAGE(MEDIE!C63:C65)</f>
        <v>3.166666667</v>
      </c>
      <c r="C7" s="52" t="s">
        <v>164</v>
      </c>
      <c r="D7" s="52">
        <f>AVERAGE(MEDIE!C67:C68)</f>
        <v>3.75</v>
      </c>
      <c r="E7" s="52">
        <f>AVERAGE(MEDIE!C70:C71)</f>
        <v>3.625</v>
      </c>
    </row>
    <row r="8">
      <c r="A8" s="51" t="s">
        <v>169</v>
      </c>
      <c r="B8" s="51">
        <f>AVERAGE(MEDIE!C73:C75)</f>
        <v>3.25</v>
      </c>
      <c r="C8" s="51">
        <f>AVERAGE(MEDIE!C77:C79)</f>
        <v>3.083333333</v>
      </c>
      <c r="D8" s="51">
        <f>AVERAGE(MEDIE!C82:C83)</f>
        <v>4.25</v>
      </c>
      <c r="E8" s="51">
        <f>AVERAGE(MEDIE!C84:C85)</f>
        <v>3.5</v>
      </c>
    </row>
    <row r="9">
      <c r="A9" s="52" t="s">
        <v>170</v>
      </c>
      <c r="B9" s="52">
        <f>AVERAGE(MEDIE!C87:C89)</f>
        <v>3.25</v>
      </c>
      <c r="C9" s="52" t="s">
        <v>164</v>
      </c>
      <c r="D9" s="52">
        <f>AVERAGE(MEDIE!C91:C92)</f>
        <v>3.5</v>
      </c>
      <c r="E9" s="52">
        <f>AVERAGE(MEDIE!C94:C95)</f>
        <v>3.375</v>
      </c>
    </row>
    <row r="10"/>
    <row r="11"/>
    <row r="12"/>
    <row r="13"/>
    <row r="14"/>
    <row r="15">
      <c r="A15" s="15"/>
      <c r="B15" s="15"/>
    </row>
    <row r="16"/>
    <row r="17"/>
    <row r="18"/>
    <row r="19"/>
    <row r="20"/>
  </sheetData>
  <conditionalFormatting sqref="A1:E1000">
    <cfRule type="cellIs" dxfId="0" priority="1" operator="lessThan">
      <formula>3</formula>
    </cfRule>
  </conditionalFormatting>
  <conditionalFormatting sqref="K14">
    <cfRule type="notContainsBlanks" dxfId="1" priority="2">
      <formula>LEN(TRIM(K14))&gt;0</formula>
    </cfRule>
  </conditionalFormatting>
  <printOptions/>
  <pageMargins bottom="0.75" footer="0.0" header="0.0" left="0.7" right="0.7" top="0.75"/>
  <pageSetup orientation="landscape"/>
  <drawing r:id="rId1"/>
</worksheet>
</file>